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4"/>
    <sheet state="visible" name="June 2026" sheetId="2" r:id="rId5"/>
    <sheet state="visible" name="June Summary" sheetId="3" r:id="rId6"/>
    <sheet state="visible" name="July" sheetId="4" r:id="rId7"/>
    <sheet state="visible" name="July Summary" sheetId="5" r:id="rId8"/>
    <sheet state="visible" name="August" sheetId="6" r:id="rId9"/>
    <sheet state="hidden" name="Sheet3" sheetId="7" r:id="rId10"/>
    <sheet state="visible" name="August Summary" sheetId="8" r:id="rId11"/>
    <sheet state="visible" name="September " sheetId="9" r:id="rId12"/>
    <sheet state="visible" name="September Summary" sheetId="10" r:id="rId13"/>
    <sheet state="visible" name="October " sheetId="11" r:id="rId14"/>
    <sheet state="visible" name="October Summary" sheetId="12" r:id="rId15"/>
    <sheet state="visible" name=" November " sheetId="13" r:id="rId16"/>
    <sheet state="visible" name="November Summary" sheetId="14" r:id="rId17"/>
    <sheet state="visible" name="December" sheetId="15" r:id="rId18"/>
    <sheet state="visible" name="December Summary" sheetId="16" r:id="rId19"/>
    <sheet state="visible" name="January 2026" sheetId="17" r:id="rId20"/>
    <sheet state="visible" name="January 26 Summary" sheetId="18" r:id="rId21"/>
    <sheet state="visible" name="Feb 26 Summary" sheetId="19" r:id="rId22"/>
    <sheet state="visible" name="Feb 2026" sheetId="20" r:id="rId23"/>
    <sheet state="visible" name="Mar 2026" sheetId="21" r:id="rId24"/>
    <sheet state="visible" name="Sheet15" sheetId="22" r:id="rId25"/>
    <sheet state="visible" name="April 2026" sheetId="23" r:id="rId26"/>
    <sheet state="visible" name="Mar 26 Summary" sheetId="24" r:id="rId27"/>
    <sheet state="visible" name="Yearly Summary" sheetId="25" r:id="rId28"/>
    <sheet state="visible" name="May 2026" sheetId="26" r:id="rId29"/>
    <sheet state="visible" name="April 26 Summary" sheetId="27" r:id="rId30"/>
    <sheet state="visible" name="milk stock " sheetId="28" r:id="rId31"/>
    <sheet state="hidden" name="Ghee Inventory" sheetId="29" r:id="rId32"/>
    <sheet state="visible" name="Ghee Inventory (Akshya Farm)" sheetId="30" r:id="rId33"/>
    <sheet state="visible" name="Naral Inventory" sheetId="31" r:id="rId34"/>
    <sheet state="visible" name="Sheet13" sheetId="32" r:id="rId35"/>
  </sheets>
  <definedNames/>
  <calcPr/>
  <extLst>
    <ext uri="GoogleSheetsCustomDataVersion2">
      <go:sheetsCustomData xmlns:go="http://customooxmlschemas.google.com/" r:id="rId36" roundtripDataChecksum="Crz7cRX6dxZUrQLcFoGominuKlLmpi9zCiJxC3w6LD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38">
      <text>
        <t xml:space="preserve">======
ID#AAAB2akaM7c
Vedika Parkar    (2026-03-23 06:07:15)
extra milk</t>
      </text>
    </comment>
    <comment authorId="0" ref="P19">
      <text>
        <t xml:space="preserve">evening milk used to sale on next day 10 march
======</t>
      </text>
    </comment>
    <comment authorId="0" ref="R20">
      <text>
        <t xml:space="preserve">======
ID#AAAB1y7sOiE
Vedika Parkar    (2026-03-16 08:08:56)
(1.5 used) from 9 march out of 11 litre ,remaining milk(9.5 litr)</t>
      </text>
    </comment>
  </commentList>
  <extLst>
    <ext uri="GoogleSheetsCustomDataVersion2">
      <go:sheetsCustomData xmlns:go="http://customooxmlschemas.google.com/" r:id="rId1" roundtripDataSignature="AMtx7mgEBtV0eWkXKc/XHBbAxYe7gY9O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6">
      <text>
        <t xml:space="preserve">======
ID#AAAB2-MLbdU
Vedika Parkar    (2026-04-03 05:47:15)
3 litre satyavan manjalkar</t>
      </text>
    </comment>
  </commentList>
  <extLst>
    <ext uri="GoogleSheetsCustomDataVersion2">
      <go:sheetsCustomData xmlns:go="http://customooxmlschemas.google.com/" r:id="rId1" roundtripDataSignature="AMtx7mgw68/kzSM0OzO0vVzpn9agfYBey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ID#AAAB1eROUHE
Vedika Parkar    (2026-03-09 04:51:46)
500g -3 bottles from new production ghee (2.5kg)+other shelf 5</t>
      </text>
    </comment>
    <comment authorId="0" ref="G4">
      <text>
        <t xml:space="preserve">======
ID#AAAB1eROUHI
Vedika Parkar    (2026-03-09 04:52:59)
250g-4bottle(2.5kg-new produced)</t>
      </text>
    </comment>
    <comment authorId="0" ref="H4">
      <text>
        <t xml:space="preserve">======
ID#AAAB1eROUHM
Vedika Parkar    (2026-03-09 04:53:34)
other shelf</t>
      </text>
    </comment>
    <comment authorId="0" ref="E1">
      <text>
        <t xml:space="preserve">======
ID#AAAB0y-R0e8
Vedika Parkar    (2026-03-04 10:58:12)
3 wrapped,1 unwrapped</t>
      </text>
    </comment>
    <comment authorId="0" ref="F1">
      <text>
        <t xml:space="preserve">======
ID#AAAB0y7_p_w
Vedika Parkar    (2026-03-04 07:43:59)
18 wrapped and 3 unwrapped</t>
      </text>
    </comment>
    <comment authorId="0" ref="G1">
      <text>
        <t xml:space="preserve">======
ID#AAAB0y7_p_4
Vedika Parkar    (2026-03-04 08:00:23)
11 wrapped</t>
      </text>
    </comment>
    <comment authorId="0" ref="H1">
      <text>
        <t xml:space="preserve">======
ID#AAAB0y7_p_8
Vedika Parkar    (2026-03-04 08:00:52)
43 wrapped 12 unwrapped</t>
      </text>
    </comment>
    <comment authorId="0" ref="B4">
      <text>
        <t xml:space="preserve">======
ID#AAAB1eROUHA
Vedika Parkar    (2026-03-09 04:48:36)
2.5 kg new ghee+ half filled bottle +some in other shelf</t>
      </text>
    </comment>
  </commentList>
  <extLst>
    <ext uri="GoogleSheetsCustomDataVersion2">
      <go:sheetsCustomData xmlns:go="http://customooxmlschemas.google.com/" r:id="rId1" roundtripDataSignature="AMtx7mhKFhNVLrzP/FgCJYMU/MxArOGdP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5">
      <text>
        <t xml:space="preserve">======
ID#AAAB8-V9WxY
Vedika Parkar    (2026-06-08 05:09:30)
exclude black</t>
      </text>
    </comment>
    <comment authorId="0" ref="J41">
      <text>
        <t xml:space="preserve">======
ID#AAAB6dNqGm0
Vedika Parkar    (2026-05-14 06:48:59)
used for vishal rane</t>
      </text>
    </comment>
    <comment authorId="0" ref="L41">
      <text>
        <t xml:space="preserve">======
ID#AAAB6dNqGnE
Vedika Parkar    (2026-05-14 06:49:45)
used for vishal rane</t>
      </text>
    </comment>
    <comment authorId="0" ref="J33">
      <text>
        <t xml:space="preserve">======
ID#AAAB6lshsPc
Vedika Parkar    (2026-05-18 04:59:42)
sample used</t>
      </text>
    </comment>
    <comment authorId="0" ref="I92">
      <text>
        <t xml:space="preserve">======
ID#AAAB6VI6_o4
Divya Raorane    (2026-05-28 06:16:12)
24/5,27/5</t>
      </text>
    </comment>
    <comment authorId="0" ref="L91">
      <text>
        <t xml:space="preserve">======
ID#AAAB6VI6_o8
Divya Raorane    (2026-05-28 06:19:39)
used for vishal</t>
      </text>
    </comment>
    <comment authorId="0" ref="H53">
      <text>
        <t xml:space="preserve">======
ID#AAAB6dNqGks
Vedika Parkar    (2026-05-14 06:14:34)
used 0.055 frm above</t>
      </text>
    </comment>
    <comment authorId="0" ref="H21">
      <text>
        <t xml:space="preserve">======
ID#AAAB2akdcso
Vedika Parkar    (2026-03-23 06:27:05)
sale</t>
      </text>
    </comment>
    <comment authorId="0" ref="H52">
      <text>
        <t xml:space="preserve">======
ID#AAAB6dNqGi8
Vedika Parkar    (2026-05-14 06:07:00)
used .50 from remaining to fill</t>
      </text>
    </comment>
    <comment authorId="0" ref="G112">
      <text>
        <t xml:space="preserve">======
ID#AAAB9lUb6dQ
Vedika Parkar    (2026-06-15 06:08:17)
100g used to fill 1 kg bottles</t>
      </text>
    </comment>
    <comment authorId="0" ref="L21">
      <text>
        <t xml:space="preserve">======
ID#AAAB2akdcsw
Vedika Parkar    (2026-03-23 06:30:04)
sample given</t>
      </text>
    </comment>
    <comment authorId="0" ref="H111">
      <text>
        <t xml:space="preserve">======
ID#AAAB9lUb6dM
Vedika Parkar    (2026-06-15 06:06:32)
used to fill 1kg 4 bottles</t>
      </text>
    </comment>
    <comment authorId="0" ref="J45">
      <text>
        <t xml:space="preserve">======
ID#AAAB6dPs6bs
Vedika Parkar    (2026-05-14 07:00:03)
sujata ptel,100 ml sample used</t>
      </text>
    </comment>
    <comment authorId="0" ref="H41">
      <text>
        <t xml:space="preserve">======
ID#AAAB6dNqGmw
Vedika Parkar    (2026-05-14 06:47:50)
mahesh rane</t>
      </text>
    </comment>
  </commentList>
  <extLst>
    <ext uri="GoogleSheetsCustomDataVersion2">
      <go:sheetsCustomData xmlns:go="http://customooxmlschemas.google.com/" r:id="rId1" roundtripDataSignature="AMtx7mjxbb9b6jrGQiodLAABn4+vjAlqng=="/>
    </ext>
  </extLst>
</comments>
</file>

<file path=xl/sharedStrings.xml><?xml version="1.0" encoding="utf-8"?>
<sst xmlns="http://schemas.openxmlformats.org/spreadsheetml/2006/main" count="1402" uniqueCount="206">
  <si>
    <t>Date</t>
  </si>
  <si>
    <t>Milking</t>
  </si>
  <si>
    <t>Shobha</t>
  </si>
  <si>
    <t>Devaki</t>
  </si>
  <si>
    <t>Sita</t>
  </si>
  <si>
    <t>Lakshmi</t>
  </si>
  <si>
    <t>Total (Litres)</t>
  </si>
  <si>
    <t xml:space="preserve">Daily Milk collection </t>
  </si>
  <si>
    <t>Morning</t>
  </si>
  <si>
    <t>Evening</t>
  </si>
  <si>
    <t>Datemm-</t>
  </si>
  <si>
    <t>Mruga</t>
  </si>
  <si>
    <t>Radha</t>
  </si>
  <si>
    <t>Shravani</t>
  </si>
  <si>
    <t>Uma</t>
  </si>
  <si>
    <t xml:space="preserve">Parvati </t>
  </si>
  <si>
    <t>Durga</t>
  </si>
  <si>
    <t xml:space="preserve">Ganga </t>
  </si>
  <si>
    <t>Yamuna</t>
  </si>
  <si>
    <t>Kapila</t>
  </si>
  <si>
    <t>Sindhu</t>
  </si>
  <si>
    <t>Daily total (Litres)</t>
  </si>
  <si>
    <t xml:space="preserve">Transfer to milk sale </t>
  </si>
  <si>
    <t>Transfer to ghee</t>
  </si>
  <si>
    <t>Balance milk</t>
  </si>
  <si>
    <t>stored milk</t>
  </si>
  <si>
    <t xml:space="preserve">satyajits home </t>
  </si>
  <si>
    <t>Amit bhave</t>
  </si>
  <si>
    <t>bal</t>
  </si>
  <si>
    <t xml:space="preserve">actual sale </t>
  </si>
  <si>
    <t>return from sale</t>
  </si>
  <si>
    <t>diff</t>
  </si>
  <si>
    <t>31-Jun-2026</t>
  </si>
  <si>
    <t xml:space="preserve"> </t>
  </si>
  <si>
    <t>Cow Name</t>
  </si>
  <si>
    <t>Total Milk (Litres)</t>
  </si>
  <si>
    <t>Total</t>
  </si>
  <si>
    <t>3..7</t>
  </si>
  <si>
    <t>Pushpa</t>
  </si>
  <si>
    <t xml:space="preserve">Shravani </t>
  </si>
  <si>
    <t>433 3-</t>
  </si>
  <si>
    <t>Month</t>
  </si>
  <si>
    <t>June</t>
  </si>
  <si>
    <t xml:space="preserve">July </t>
  </si>
  <si>
    <t xml:space="preserve">August </t>
  </si>
  <si>
    <t>September</t>
  </si>
  <si>
    <t>October</t>
  </si>
  <si>
    <t>November</t>
  </si>
  <si>
    <t>December</t>
  </si>
  <si>
    <t>Name of Cow</t>
  </si>
  <si>
    <t>Total Milk</t>
  </si>
  <si>
    <t>Monthly Total</t>
  </si>
  <si>
    <t>2..29</t>
  </si>
  <si>
    <t>Ganga</t>
  </si>
  <si>
    <t>Stock used</t>
  </si>
  <si>
    <t>Delivery</t>
  </si>
  <si>
    <t>trf to ghe</t>
  </si>
  <si>
    <t>trf to vilas</t>
  </si>
  <si>
    <t>akshya farm</t>
  </si>
  <si>
    <t>stock</t>
  </si>
  <si>
    <t>trf to ghee</t>
  </si>
  <si>
    <t>ghee prepared</t>
  </si>
  <si>
    <t>13-04-2026</t>
  </si>
  <si>
    <t>14-04-2026</t>
  </si>
  <si>
    <t>15-04-2026</t>
  </si>
  <si>
    <t>16-04-2026</t>
  </si>
  <si>
    <t>17-04-2026</t>
  </si>
  <si>
    <t>18-04-2026</t>
  </si>
  <si>
    <t>19-04-206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</si>
  <si>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</si>
  <si>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</si>
  <si>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</si>
  <si>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</si>
  <si>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</si>
  <si>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</si>
  <si>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</si>
  <si>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</si>
  <si>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</si>
  <si>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</si>
  <si>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</si>
  <si>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13-05-2026</t>
  </si>
  <si>
    <t>14-05-2026</t>
  </si>
  <si>
    <t>15-05-2026</t>
  </si>
  <si>
    <t>16-05-2027</t>
  </si>
  <si>
    <t>17-05-2027</t>
  </si>
  <si>
    <t>18-05-2028</t>
  </si>
  <si>
    <t>19-05-2028</t>
  </si>
  <si>
    <t>20-05-2029</t>
  </si>
  <si>
    <t>21-05-2029</t>
  </si>
  <si>
    <t>22-05-2030</t>
  </si>
  <si>
    <t>23-05-2030</t>
  </si>
  <si>
    <t>24-05-2031</t>
  </si>
  <si>
    <t>25-05-2031</t>
  </si>
  <si>
    <t>26-05-2032</t>
  </si>
  <si>
    <t>27-05-2032</t>
  </si>
  <si>
    <t>28-05-2033</t>
  </si>
  <si>
    <t>15-05-2033</t>
  </si>
  <si>
    <t>14-05-2034</t>
  </si>
  <si>
    <t>15-05-2034</t>
  </si>
  <si>
    <t>14-05-2035</t>
  </si>
  <si>
    <t>Opening Balance</t>
  </si>
  <si>
    <t>Particular</t>
  </si>
  <si>
    <t xml:space="preserve">1 kg </t>
  </si>
  <si>
    <t>500g</t>
  </si>
  <si>
    <t>250g</t>
  </si>
  <si>
    <t>100g</t>
  </si>
  <si>
    <t>Farm office Stock</t>
  </si>
  <si>
    <t>Bottle no.</t>
  </si>
  <si>
    <t>Ghee kg</t>
  </si>
  <si>
    <t>addition-</t>
  </si>
  <si>
    <t>Stock As on</t>
  </si>
  <si>
    <t>Bottle</t>
  </si>
  <si>
    <t>Bottles</t>
  </si>
  <si>
    <t>Opening Stock(kg)</t>
  </si>
  <si>
    <t>New Ghee Produced(kg)</t>
  </si>
  <si>
    <t>Total Available kg</t>
  </si>
  <si>
    <t>total used (kg)</t>
  </si>
  <si>
    <t>remaining to fill</t>
  </si>
  <si>
    <t>sales trf</t>
  </si>
  <si>
    <t>Trnasfer for Shop</t>
  </si>
  <si>
    <t>Closing Bal</t>
  </si>
  <si>
    <t>Remark</t>
  </si>
  <si>
    <t>opening</t>
  </si>
  <si>
    <t>sale</t>
  </si>
  <si>
    <t>13-03-2026</t>
  </si>
  <si>
    <t>16-03-2026</t>
  </si>
  <si>
    <t>stock as on</t>
  </si>
  <si>
    <t>17-03-2026</t>
  </si>
  <si>
    <t>add=return fron knk</t>
  </si>
  <si>
    <t>18-03-2026</t>
  </si>
  <si>
    <t>less-trf to shop surendra</t>
  </si>
  <si>
    <t>19-03-2026</t>
  </si>
  <si>
    <t>20-03-2026</t>
  </si>
  <si>
    <t>21-03-2026</t>
  </si>
  <si>
    <t>23-03-2026</t>
  </si>
  <si>
    <t>less- trf for sample</t>
  </si>
  <si>
    <t>less -trf to shop-santosh</t>
  </si>
  <si>
    <t>24-03-2026</t>
  </si>
  <si>
    <t>add-return from sale santosh</t>
  </si>
  <si>
    <t>26-03-2026</t>
  </si>
  <si>
    <t>add-return from sale surendra</t>
  </si>
  <si>
    <t>27-03-2026</t>
  </si>
  <si>
    <t>28-03-2026</t>
  </si>
  <si>
    <t>30-03-2026</t>
  </si>
  <si>
    <t>less-sale mahesh rane</t>
  </si>
  <si>
    <t>Stock as on</t>
  </si>
  <si>
    <t xml:space="preserve">less-sale sujata </t>
  </si>
  <si>
    <t>less-trf to shop(vishal rane)</t>
  </si>
  <si>
    <t>24-04-2024</t>
  </si>
  <si>
    <t>less-sale (santosh more)</t>
  </si>
  <si>
    <t>25-04-2024</t>
  </si>
  <si>
    <t>less-trf to sale (Shubham kdam)</t>
  </si>
  <si>
    <t>add-return from surendra shop</t>
  </si>
  <si>
    <t>less -trf  to sale (vinit)</t>
  </si>
  <si>
    <t>less -trf  to sale (gururaj)</t>
  </si>
  <si>
    <t>less -trf  to sale (sheetal swant)</t>
  </si>
  <si>
    <t>less-sale(ganesh gavkar)</t>
  </si>
  <si>
    <t>less-sale sudhir surve</t>
  </si>
  <si>
    <t xml:space="preserve">stock as on </t>
  </si>
  <si>
    <t>add- filled remaining unfilled bottle</t>
  </si>
  <si>
    <t>less-sale to prakash rane,dipali rane</t>
  </si>
  <si>
    <t>less-sale  to vedika</t>
  </si>
  <si>
    <t>16-05-2026</t>
  </si>
  <si>
    <t>18-05-2026</t>
  </si>
  <si>
    <t>22-05-2026</t>
  </si>
  <si>
    <t>less-sale sudhir raorane</t>
  </si>
  <si>
    <t>less-sale to satyajit</t>
  </si>
  <si>
    <t>less-sale to sindhu sawant</t>
  </si>
  <si>
    <t>23-05-2026</t>
  </si>
  <si>
    <t>24-05-2026</t>
  </si>
  <si>
    <t>sale-abhijit sawant</t>
  </si>
  <si>
    <t>add-produced then used for vishal sir</t>
  </si>
  <si>
    <t>27-05-2026</t>
  </si>
  <si>
    <t>add-produced</t>
  </si>
  <si>
    <t>sale-Abhijit sawant</t>
  </si>
  <si>
    <t>29-05-2026</t>
  </si>
  <si>
    <t>sale-swapna rane</t>
  </si>
  <si>
    <t>30-05-2026</t>
  </si>
  <si>
    <t>sale-abhay pednekar</t>
  </si>
  <si>
    <t>31-05-2026</t>
  </si>
  <si>
    <t>sale-archana tawde</t>
  </si>
  <si>
    <t>sale to vijay</t>
  </si>
  <si>
    <t>less-vedika</t>
  </si>
  <si>
    <t>less-satyajit raorane</t>
  </si>
  <si>
    <t>15-06-2026</t>
  </si>
  <si>
    <t>trf- vishal sir</t>
  </si>
  <si>
    <t>trf-santosh</t>
  </si>
  <si>
    <t>coconut inventory</t>
  </si>
  <si>
    <t>stk</t>
  </si>
  <si>
    <t>newly added</t>
  </si>
  <si>
    <t>total</t>
  </si>
  <si>
    <t>small</t>
  </si>
  <si>
    <t>Medium</t>
  </si>
  <si>
    <t>large</t>
  </si>
  <si>
    <t>closing stock</t>
  </si>
  <si>
    <t>25-05-2026</t>
  </si>
  <si>
    <t>sale to vilas</t>
  </si>
  <si>
    <t>26-05-2026</t>
  </si>
  <si>
    <t>sale to mahesh satam</t>
  </si>
  <si>
    <t xml:space="preserve">used for sheechand </t>
  </si>
  <si>
    <t xml:space="preserve">used </t>
  </si>
  <si>
    <t>delivered</t>
  </si>
  <si>
    <t>return</t>
  </si>
  <si>
    <t>date</t>
  </si>
  <si>
    <t>period</t>
  </si>
  <si>
    <t>morning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</si>
</sst>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&quot;-&quot;yyyy"/>
    <numFmt numFmtId="165" formatCode="mmmm d"/>
    <numFmt numFmtId="166" formatCode="mmm d"/>
    <numFmt numFmtId="167" formatCode="mm-dd-yyyy"/>
    <numFmt numFmtId="168" formatCode="m/d"/>
  </numFmts>
  <fonts count="1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Calibri"/>
      <scheme val="minor"/>
    </font>
    <font>
      <color theme="1"/>
      <name val="Arial"/>
    </font>
    <font>
      <b/>
      <sz val="15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color rgb="FF000000"/>
      <name val="Calibri"/>
      <scheme val="minor"/>
    </font>
    <font>
      <b/>
      <color rgb="FF000000"/>
      <name val="Calibri"/>
      <scheme val="minor"/>
    </font>
    <font>
      <b/>
      <sz val="31.0"/>
      <color theme="1"/>
      <name val="Calibri"/>
      <scheme val="minor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2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3" fillId="0" fontId="3" numFmtId="0" xfId="0" applyBorder="1" applyFont="1"/>
    <xf borderId="0" fillId="0" fontId="2" numFmtId="164" xfId="0" applyFont="1" applyNumberFormat="1"/>
    <xf borderId="0" fillId="0" fontId="2" numFmtId="0" xfId="0" applyAlignment="1" applyFont="1">
      <alignment readingOrder="0" vertical="center"/>
    </xf>
    <xf borderId="0" fillId="2" fontId="4" numFmtId="0" xfId="0" applyAlignment="1" applyFill="1" applyFont="1">
      <alignment readingOrder="0" shrinkToFit="0" vertical="center" wrapText="1"/>
    </xf>
    <xf borderId="2" fillId="0" fontId="1" numFmtId="164" xfId="0" applyAlignment="1" applyBorder="1" applyFont="1" applyNumberFormat="1">
      <alignment horizontal="center" readingOrder="0" vertical="top"/>
    </xf>
    <xf borderId="0" fillId="0" fontId="4" numFmtId="0" xfId="0" applyFont="1"/>
    <xf borderId="1" fillId="0" fontId="5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readingOrder="0" vertical="top"/>
    </xf>
    <xf borderId="0" fillId="0" fontId="4" numFmtId="1" xfId="0" applyFont="1" applyNumberFormat="1"/>
    <xf borderId="0" fillId="0" fontId="2" numFmtId="1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2" fillId="0" fontId="5" numFmtId="16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vertical="top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2" xfId="0" applyFont="1" applyNumberFormat="1"/>
    <xf borderId="1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1" fillId="0" fontId="2" numFmtId="167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 shrinkToFit="0" wrapText="1"/>
    </xf>
    <xf borderId="1" fillId="0" fontId="7" numFmtId="0" xfId="0" applyAlignment="1" applyBorder="1" applyFont="1">
      <alignment horizontal="right" vertical="bottom"/>
    </xf>
    <xf borderId="0" fillId="0" fontId="2" numFmtId="0" xfId="0" applyAlignment="1" applyFon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1" fillId="0" fontId="2" numFmtId="167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1" fillId="0" fontId="2" numFmtId="14" xfId="0" applyBorder="1" applyFont="1" applyNumberFormat="1"/>
    <xf borderId="1" fillId="0" fontId="2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0" fillId="0" fontId="9" numFmtId="0" xfId="0" applyAlignment="1" applyFont="1">
      <alignment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0" fillId="4" fontId="9" numFmtId="0" xfId="0" applyAlignment="1" applyFill="1" applyFont="1">
      <alignment readingOrder="0"/>
    </xf>
    <xf borderId="1" fillId="4" fontId="9" numFmtId="167" xfId="0" applyAlignment="1" applyBorder="1" applyFont="1" applyNumberFormat="1">
      <alignment horizontal="left" readingOrder="0"/>
    </xf>
    <xf borderId="1" fillId="4" fontId="9" numFmtId="0" xfId="0" applyAlignment="1" applyBorder="1" applyFont="1">
      <alignment readingOrder="0"/>
    </xf>
    <xf borderId="1" fillId="4" fontId="9" numFmtId="0" xfId="0" applyBorder="1" applyFont="1"/>
    <xf borderId="0" fillId="4" fontId="9" numFmtId="0" xfId="0" applyFont="1"/>
    <xf borderId="1" fillId="0" fontId="2" numFmtId="167" xfId="0" applyAlignment="1" applyBorder="1" applyFont="1" applyNumberFormat="1">
      <alignment horizontal="left" readingOrder="0"/>
    </xf>
    <xf borderId="1" fillId="2" fontId="2" numFmtId="167" xfId="0" applyAlignment="1" applyBorder="1" applyFont="1" applyNumberForma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2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4" fontId="9" numFmtId="0" xfId="0" applyAlignment="1" applyBorder="1" applyFont="1">
      <alignment horizontal="left" readingOrder="0"/>
    </xf>
    <xf borderId="1" fillId="4" fontId="10" numFmtId="0" xfId="0" applyBorder="1" applyFont="1"/>
    <xf borderId="0" fillId="4" fontId="10" numFmtId="0" xfId="0" applyFont="1"/>
    <xf borderId="0" fillId="4" fontId="4" numFmtId="0" xfId="0" applyAlignment="1" applyFont="1">
      <alignment readingOrder="0"/>
    </xf>
    <xf borderId="1" fillId="4" fontId="4" numFmtId="0" xfId="0" applyAlignment="1" applyBorder="1" applyFont="1">
      <alignment horizontal="left" readingOrder="0"/>
    </xf>
    <xf borderId="1" fillId="4" fontId="4" numFmtId="0" xfId="0" applyAlignment="1" applyBorder="1" applyFont="1">
      <alignment readingOrder="0"/>
    </xf>
    <xf borderId="1" fillId="4" fontId="4" numFmtId="0" xfId="0" applyBorder="1" applyFont="1"/>
    <xf borderId="0" fillId="4" fontId="2" numFmtId="0" xfId="0" applyFont="1"/>
    <xf borderId="0" fillId="4" fontId="4" numFmtId="0" xfId="0" applyFont="1"/>
    <xf borderId="1" fillId="4" fontId="4" numFmtId="167" xfId="0" applyAlignment="1" applyBorder="1" applyFont="1" applyNumberFormat="1">
      <alignment horizontal="left" readingOrder="0"/>
    </xf>
    <xf borderId="1" fillId="5" fontId="2" numFmtId="0" xfId="0" applyBorder="1" applyFill="1" applyFont="1"/>
    <xf borderId="1" fillId="2" fontId="11" numFmtId="0" xfId="0" applyAlignment="1" applyBorder="1" applyFont="1">
      <alignment readingOrder="0"/>
    </xf>
    <xf borderId="1" fillId="2" fontId="11" numFmtId="0" xfId="0" applyAlignment="1" applyBorder="1" applyFont="1">
      <alignment horizontal="left" readingOrder="0"/>
    </xf>
    <xf borderId="1" fillId="2" fontId="11" numFmtId="0" xfId="0" applyBorder="1" applyFont="1"/>
    <xf borderId="0" fillId="2" fontId="11" numFmtId="0" xfId="0" applyFont="1"/>
    <xf borderId="1" fillId="4" fontId="12" numFmtId="0" xfId="0" applyAlignment="1" applyBorder="1" applyFont="1">
      <alignment horizontal="left" readingOrder="0"/>
    </xf>
    <xf borderId="1" fillId="4" fontId="12" numFmtId="0" xfId="0" applyAlignment="1" applyBorder="1" applyFont="1">
      <alignment readingOrder="0"/>
    </xf>
    <xf borderId="1" fillId="4" fontId="12" numFmtId="0" xfId="0" applyBorder="1" applyFont="1"/>
    <xf borderId="0" fillId="4" fontId="12" numFmtId="0" xfId="0" applyFont="1"/>
    <xf borderId="1" fillId="6" fontId="4" numFmtId="0" xfId="0" applyAlignment="1" applyBorder="1" applyFill="1" applyFont="1">
      <alignment readingOrder="0"/>
    </xf>
    <xf borderId="1" fillId="6" fontId="2" numFmtId="167" xfId="0" applyAlignment="1" applyBorder="1" applyFont="1" applyNumberFormat="1">
      <alignment horizontal="left" readingOrder="0"/>
    </xf>
    <xf borderId="1" fillId="6" fontId="2" numFmtId="0" xfId="0" applyAlignment="1" applyBorder="1" applyFont="1">
      <alignment readingOrder="0"/>
    </xf>
    <xf borderId="1" fillId="6" fontId="2" numFmtId="0" xfId="0" applyBorder="1" applyFont="1"/>
    <xf borderId="0" fillId="6" fontId="2" numFmtId="0" xfId="0" applyFont="1"/>
    <xf borderId="1" fillId="7" fontId="2" numFmtId="0" xfId="0" applyAlignment="1" applyBorder="1" applyFill="1" applyFont="1">
      <alignment readingOrder="0"/>
    </xf>
    <xf borderId="1" fillId="7" fontId="2" numFmtId="0" xfId="0" applyAlignment="1" applyBorder="1" applyFont="1">
      <alignment horizontal="left" readingOrder="0"/>
    </xf>
    <xf borderId="1" fillId="7" fontId="2" numFmtId="0" xfId="0" applyBorder="1" applyFont="1"/>
    <xf borderId="0" fillId="7" fontId="2" numFmtId="0" xfId="0" applyFont="1"/>
    <xf borderId="1" fillId="4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0" fillId="5" fontId="4" numFmtId="0" xfId="0" applyFont="1"/>
    <xf borderId="0" fillId="5" fontId="2" numFmtId="0" xfId="0" applyFont="1"/>
    <xf borderId="1" fillId="8" fontId="2" numFmtId="0" xfId="0" applyAlignment="1" applyBorder="1" applyFill="1" applyFont="1">
      <alignment readingOrder="0"/>
    </xf>
    <xf borderId="1" fillId="8" fontId="2" numFmtId="0" xfId="0" applyAlignment="1" applyBorder="1" applyFont="1">
      <alignment horizontal="left" readingOrder="0"/>
    </xf>
    <xf borderId="1" fillId="8" fontId="2" numFmtId="0" xfId="0" applyBorder="1" applyFont="1"/>
    <xf borderId="0" fillId="8" fontId="2" numFmtId="0" xfId="0" applyFont="1"/>
    <xf borderId="1" fillId="0" fontId="4" numFmtId="0" xfId="0" applyBorder="1" applyFont="1"/>
    <xf borderId="1" fillId="2" fontId="4" numFmtId="0" xfId="0" applyAlignment="1" applyBorder="1" applyFont="1">
      <alignment readingOrder="0"/>
    </xf>
    <xf borderId="1" fillId="2" fontId="2" numFmtId="167" xfId="0" applyAlignment="1" applyBorder="1" applyFont="1" applyNumberFormat="1">
      <alignment readingOrder="0"/>
    </xf>
    <xf borderId="1" fillId="4" fontId="1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left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readingOrder="0" shrinkToFit="0" wrapText="1"/>
    </xf>
    <xf borderId="0" fillId="5" fontId="15" numFmtId="0" xfId="0" applyAlignment="1" applyFont="1">
      <alignment shrinkToFit="0" wrapText="1"/>
    </xf>
    <xf borderId="0" fillId="9" fontId="4" numFmtId="0" xfId="0" applyAlignment="1" applyFill="1" applyFont="1">
      <alignment horizontal="left" readingOrder="0"/>
    </xf>
    <xf borderId="1" fillId="9" fontId="4" numFmtId="0" xfId="0" applyAlignment="1" applyBorder="1" applyFont="1">
      <alignment horizontal="center" readingOrder="0"/>
    </xf>
    <xf borderId="1" fillId="9" fontId="4" numFmtId="0" xfId="0" applyAlignment="1" applyBorder="1" applyFont="1">
      <alignment readingOrder="0"/>
    </xf>
    <xf borderId="0" fillId="2" fontId="2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9" fontId="4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167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3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4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8" width="14.86"/>
    <col customWidth="1" min="9" max="9" width="17.71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 t="s">
        <v>6</v>
      </c>
      <c r="I1" s="3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45809.0</v>
      </c>
      <c r="B2" s="6" t="s">
        <v>8</v>
      </c>
      <c r="C2" s="7">
        <v>3.0</v>
      </c>
      <c r="D2" s="7"/>
      <c r="E2" s="7"/>
      <c r="F2" s="7"/>
      <c r="H2" s="8">
        <f t="shared" ref="H2:H61" si="1">SUM(C2:F2)</f>
        <v>3</v>
      </c>
      <c r="I2" s="8">
        <f>H2+I4</f>
        <v>6.5</v>
      </c>
    </row>
    <row r="3">
      <c r="A3" s="9"/>
      <c r="B3" s="6" t="s">
        <v>9</v>
      </c>
      <c r="C3" s="7">
        <v>2.0</v>
      </c>
      <c r="D3" s="7"/>
      <c r="E3" s="7"/>
      <c r="F3" s="7"/>
      <c r="H3" s="8">
        <f t="shared" si="1"/>
        <v>2</v>
      </c>
    </row>
    <row r="4">
      <c r="A4" s="5">
        <v>45810.0</v>
      </c>
      <c r="B4" s="6" t="s">
        <v>8</v>
      </c>
      <c r="C4" s="7">
        <v>2.0</v>
      </c>
      <c r="D4" s="7"/>
      <c r="E4" s="7"/>
      <c r="H4" s="8">
        <f t="shared" si="1"/>
        <v>2</v>
      </c>
      <c r="I4" s="8">
        <f>H4+H5</f>
        <v>3.5</v>
      </c>
    </row>
    <row r="5">
      <c r="A5" s="9"/>
      <c r="B5" s="6" t="s">
        <v>9</v>
      </c>
      <c r="C5" s="7">
        <v>1.5</v>
      </c>
      <c r="H5" s="8">
        <f t="shared" si="1"/>
        <v>1.5</v>
      </c>
    </row>
    <row r="6">
      <c r="A6" s="5">
        <v>45811.0</v>
      </c>
      <c r="B6" s="6" t="s">
        <v>8</v>
      </c>
      <c r="C6" s="7">
        <v>2.0</v>
      </c>
      <c r="H6" s="8">
        <f t="shared" si="1"/>
        <v>2</v>
      </c>
      <c r="I6" s="8">
        <f>H6+H7</f>
        <v>3.5</v>
      </c>
    </row>
    <row r="7">
      <c r="A7" s="9"/>
      <c r="B7" s="6" t="s">
        <v>9</v>
      </c>
      <c r="C7" s="7">
        <v>1.5</v>
      </c>
      <c r="H7" s="8">
        <f t="shared" si="1"/>
        <v>1.5</v>
      </c>
    </row>
    <row r="8">
      <c r="A8" s="5">
        <v>45812.0</v>
      </c>
      <c r="B8" s="6" t="s">
        <v>8</v>
      </c>
      <c r="C8" s="7">
        <v>2.8</v>
      </c>
      <c r="H8" s="8">
        <f t="shared" si="1"/>
        <v>2.8</v>
      </c>
      <c r="I8" s="8">
        <f>H8+H9</f>
        <v>4.1</v>
      </c>
    </row>
    <row r="9">
      <c r="A9" s="9"/>
      <c r="B9" s="6" t="s">
        <v>9</v>
      </c>
      <c r="C9" s="7">
        <v>1.3</v>
      </c>
      <c r="H9" s="8">
        <f t="shared" si="1"/>
        <v>1.3</v>
      </c>
    </row>
    <row r="10">
      <c r="A10" s="5">
        <v>45813.0</v>
      </c>
      <c r="B10" s="6" t="s">
        <v>8</v>
      </c>
      <c r="C10" s="7">
        <v>2.8</v>
      </c>
      <c r="H10" s="8">
        <f t="shared" si="1"/>
        <v>2.8</v>
      </c>
      <c r="I10" s="8">
        <f>H10+H11</f>
        <v>4.4</v>
      </c>
    </row>
    <row r="11">
      <c r="A11" s="9"/>
      <c r="B11" s="6" t="s">
        <v>9</v>
      </c>
      <c r="C11" s="7">
        <v>1.6</v>
      </c>
      <c r="H11" s="8">
        <f t="shared" si="1"/>
        <v>1.6</v>
      </c>
    </row>
    <row r="12">
      <c r="A12" s="5">
        <v>45814.0</v>
      </c>
      <c r="B12" s="6" t="s">
        <v>8</v>
      </c>
      <c r="C12" s="7">
        <v>2.5</v>
      </c>
      <c r="H12" s="8">
        <f t="shared" si="1"/>
        <v>2.5</v>
      </c>
      <c r="I12" s="8">
        <f>H12+H13</f>
        <v>4</v>
      </c>
    </row>
    <row r="13">
      <c r="A13" s="9"/>
      <c r="B13" s="6" t="s">
        <v>9</v>
      </c>
      <c r="C13" s="7">
        <v>1.5</v>
      </c>
      <c r="H13" s="8">
        <f t="shared" si="1"/>
        <v>1.5</v>
      </c>
    </row>
    <row r="14">
      <c r="A14" s="5">
        <v>45815.0</v>
      </c>
      <c r="B14" s="6" t="s">
        <v>8</v>
      </c>
      <c r="C14" s="7">
        <v>3.0</v>
      </c>
      <c r="H14" s="8">
        <f t="shared" si="1"/>
        <v>3</v>
      </c>
      <c r="I14" s="8">
        <f>H14+H15</f>
        <v>4.5</v>
      </c>
    </row>
    <row r="15">
      <c r="A15" s="9"/>
      <c r="B15" s="6" t="s">
        <v>9</v>
      </c>
      <c r="C15" s="7">
        <v>1.5</v>
      </c>
      <c r="H15" s="8">
        <f t="shared" si="1"/>
        <v>1.5</v>
      </c>
    </row>
    <row r="16">
      <c r="A16" s="5">
        <v>45816.0</v>
      </c>
      <c r="B16" s="6" t="s">
        <v>8</v>
      </c>
      <c r="C16" s="7">
        <v>3.5</v>
      </c>
      <c r="H16" s="8">
        <f t="shared" si="1"/>
        <v>3.5</v>
      </c>
      <c r="I16" s="8">
        <f>H16+H17</f>
        <v>4.9</v>
      </c>
    </row>
    <row r="17">
      <c r="A17" s="9"/>
      <c r="B17" s="6" t="s">
        <v>9</v>
      </c>
      <c r="C17" s="7">
        <v>1.4</v>
      </c>
      <c r="H17" s="8">
        <f t="shared" si="1"/>
        <v>1.4</v>
      </c>
    </row>
    <row r="18">
      <c r="A18" s="5">
        <v>45817.0</v>
      </c>
      <c r="B18" s="6" t="s">
        <v>8</v>
      </c>
      <c r="C18" s="7">
        <v>3.5</v>
      </c>
      <c r="H18" s="8">
        <f t="shared" si="1"/>
        <v>3.5</v>
      </c>
      <c r="I18" s="8">
        <f>H18+H19</f>
        <v>5</v>
      </c>
    </row>
    <row r="19">
      <c r="A19" s="9"/>
      <c r="B19" s="6" t="s">
        <v>9</v>
      </c>
      <c r="C19" s="7">
        <v>1.5</v>
      </c>
      <c r="H19" s="8">
        <f t="shared" si="1"/>
        <v>1.5</v>
      </c>
    </row>
    <row r="20">
      <c r="A20" s="5">
        <v>45818.0</v>
      </c>
      <c r="B20" s="6" t="s">
        <v>8</v>
      </c>
      <c r="C20" s="7">
        <v>3.0</v>
      </c>
      <c r="H20" s="8">
        <f t="shared" si="1"/>
        <v>3</v>
      </c>
      <c r="I20" s="8">
        <f>H20+H21</f>
        <v>4.5</v>
      </c>
    </row>
    <row r="21" ht="15.75" customHeight="1">
      <c r="A21" s="9"/>
      <c r="B21" s="6" t="s">
        <v>9</v>
      </c>
      <c r="C21" s="7">
        <v>1.5</v>
      </c>
      <c r="H21" s="8">
        <f t="shared" si="1"/>
        <v>1.5</v>
      </c>
    </row>
    <row r="22" ht="15.75" customHeight="1">
      <c r="A22" s="5">
        <v>45819.0</v>
      </c>
      <c r="B22" s="6" t="s">
        <v>8</v>
      </c>
      <c r="C22" s="7">
        <v>2.5</v>
      </c>
      <c r="D22" s="7">
        <v>4.5</v>
      </c>
      <c r="E22" s="7">
        <v>4.0</v>
      </c>
      <c r="H22" s="8">
        <f t="shared" si="1"/>
        <v>11</v>
      </c>
      <c r="I22" s="8">
        <f>H22+H23</f>
        <v>20.8</v>
      </c>
    </row>
    <row r="23" ht="15.75" customHeight="1">
      <c r="A23" s="9"/>
      <c r="B23" s="6" t="s">
        <v>9</v>
      </c>
      <c r="C23" s="7">
        <v>1.3</v>
      </c>
      <c r="D23" s="7">
        <v>4.5</v>
      </c>
      <c r="E23" s="7">
        <v>4.0</v>
      </c>
      <c r="H23" s="8">
        <f t="shared" si="1"/>
        <v>9.8</v>
      </c>
    </row>
    <row r="24" ht="15.75" customHeight="1">
      <c r="A24" s="5">
        <v>45820.0</v>
      </c>
      <c r="B24" s="6" t="s">
        <v>8</v>
      </c>
      <c r="C24" s="7">
        <v>2.5</v>
      </c>
      <c r="D24" s="7">
        <v>4.5</v>
      </c>
      <c r="E24" s="7">
        <v>4.0</v>
      </c>
      <c r="H24" s="8">
        <f t="shared" si="1"/>
        <v>11</v>
      </c>
      <c r="I24" s="8">
        <f>H24+H25</f>
        <v>21</v>
      </c>
    </row>
    <row r="25" ht="15.75" customHeight="1">
      <c r="A25" s="9"/>
      <c r="B25" s="6" t="s">
        <v>9</v>
      </c>
      <c r="C25" s="7">
        <v>1.5</v>
      </c>
      <c r="D25" s="7">
        <v>4.5</v>
      </c>
      <c r="E25" s="7">
        <v>4.0</v>
      </c>
      <c r="H25" s="8">
        <f t="shared" si="1"/>
        <v>10</v>
      </c>
    </row>
    <row r="26" ht="15.75" customHeight="1">
      <c r="A26" s="5">
        <v>45821.0</v>
      </c>
      <c r="B26" s="6" t="s">
        <v>8</v>
      </c>
      <c r="C26" s="7">
        <v>2.5</v>
      </c>
      <c r="D26" s="7">
        <v>4.5</v>
      </c>
      <c r="E26" s="7">
        <v>4.0</v>
      </c>
      <c r="H26" s="8">
        <f t="shared" si="1"/>
        <v>11</v>
      </c>
      <c r="I26" s="8">
        <f>H26+H27</f>
        <v>21</v>
      </c>
    </row>
    <row r="27" ht="15.75" customHeight="1">
      <c r="A27" s="9"/>
      <c r="B27" s="6" t="s">
        <v>9</v>
      </c>
      <c r="C27" s="7">
        <v>1.5</v>
      </c>
      <c r="D27" s="7">
        <v>4.5</v>
      </c>
      <c r="E27" s="7">
        <v>4.0</v>
      </c>
      <c r="H27" s="8">
        <f t="shared" si="1"/>
        <v>10</v>
      </c>
    </row>
    <row r="28" ht="15.75" customHeight="1">
      <c r="A28" s="5">
        <v>45822.0</v>
      </c>
      <c r="B28" s="6" t="s">
        <v>8</v>
      </c>
      <c r="C28" s="7">
        <v>3.0</v>
      </c>
      <c r="D28" s="7">
        <v>4.5</v>
      </c>
      <c r="E28" s="7">
        <v>3.0</v>
      </c>
      <c r="H28" s="8">
        <f t="shared" si="1"/>
        <v>10.5</v>
      </c>
      <c r="I28" s="8">
        <f>H28+H29</f>
        <v>19.5</v>
      </c>
    </row>
    <row r="29" ht="15.75" customHeight="1">
      <c r="A29" s="9"/>
      <c r="B29" s="6" t="s">
        <v>9</v>
      </c>
      <c r="C29" s="7">
        <v>1.5</v>
      </c>
      <c r="D29" s="7">
        <v>4.5</v>
      </c>
      <c r="E29" s="7">
        <v>3.0</v>
      </c>
      <c r="H29" s="8">
        <f t="shared" si="1"/>
        <v>9</v>
      </c>
    </row>
    <row r="30" ht="15.75" customHeight="1">
      <c r="A30" s="5">
        <v>45823.0</v>
      </c>
      <c r="B30" s="6" t="s">
        <v>8</v>
      </c>
      <c r="C30" s="7">
        <v>2.5</v>
      </c>
      <c r="D30" s="7">
        <v>4.5</v>
      </c>
      <c r="E30" s="7">
        <v>3.0</v>
      </c>
      <c r="H30" s="8">
        <f t="shared" si="1"/>
        <v>10</v>
      </c>
      <c r="I30" s="8">
        <f>H30+H31</f>
        <v>19</v>
      </c>
    </row>
    <row r="31" ht="15.75" customHeight="1">
      <c r="A31" s="9"/>
      <c r="B31" s="6" t="s">
        <v>9</v>
      </c>
      <c r="C31" s="7">
        <v>1.5</v>
      </c>
      <c r="D31" s="7">
        <v>4.5</v>
      </c>
      <c r="E31" s="7">
        <v>3.0</v>
      </c>
      <c r="H31" s="8">
        <f t="shared" si="1"/>
        <v>9</v>
      </c>
    </row>
    <row r="32" ht="15.75" customHeight="1">
      <c r="A32" s="5">
        <v>45824.0</v>
      </c>
      <c r="B32" s="6" t="s">
        <v>8</v>
      </c>
      <c r="C32" s="7">
        <v>3.0</v>
      </c>
      <c r="D32" s="7">
        <v>4.5</v>
      </c>
      <c r="E32" s="7">
        <v>3.0</v>
      </c>
      <c r="H32" s="8">
        <f t="shared" si="1"/>
        <v>10.5</v>
      </c>
      <c r="I32" s="8">
        <f>H32+H33</f>
        <v>19.3</v>
      </c>
    </row>
    <row r="33" ht="15.75" customHeight="1">
      <c r="A33" s="9"/>
      <c r="B33" s="6" t="s">
        <v>9</v>
      </c>
      <c r="C33" s="7">
        <v>2.0</v>
      </c>
      <c r="D33" s="7">
        <v>4.4</v>
      </c>
      <c r="E33" s="7">
        <v>2.4</v>
      </c>
      <c r="H33" s="8">
        <f t="shared" si="1"/>
        <v>8.8</v>
      </c>
    </row>
    <row r="34" ht="15.75" customHeight="1">
      <c r="A34" s="5">
        <v>45825.0</v>
      </c>
      <c r="B34" s="6" t="s">
        <v>8</v>
      </c>
      <c r="C34" s="7">
        <v>3.3</v>
      </c>
      <c r="D34" s="7">
        <v>4.5</v>
      </c>
      <c r="E34" s="7">
        <v>3.1</v>
      </c>
      <c r="H34" s="8">
        <f t="shared" si="1"/>
        <v>10.9</v>
      </c>
      <c r="I34" s="8">
        <f>H34+H35</f>
        <v>19.7</v>
      </c>
    </row>
    <row r="35" ht="15.75" customHeight="1">
      <c r="A35" s="9"/>
      <c r="B35" s="6" t="s">
        <v>9</v>
      </c>
      <c r="C35" s="7">
        <v>2.7</v>
      </c>
      <c r="D35" s="7">
        <v>4.5</v>
      </c>
      <c r="E35" s="7">
        <v>1.6</v>
      </c>
      <c r="H35" s="8">
        <f t="shared" si="1"/>
        <v>8.8</v>
      </c>
    </row>
    <row r="36" ht="15.75" customHeight="1">
      <c r="A36" s="5">
        <v>45826.0</v>
      </c>
      <c r="B36" s="6" t="s">
        <v>8</v>
      </c>
      <c r="C36" s="7">
        <v>3.5</v>
      </c>
      <c r="D36" s="7">
        <v>5.2</v>
      </c>
      <c r="E36" s="7">
        <v>2.5</v>
      </c>
      <c r="H36" s="8">
        <f t="shared" si="1"/>
        <v>11.2</v>
      </c>
      <c r="I36" s="8">
        <f>H36+H37</f>
        <v>19.7</v>
      </c>
    </row>
    <row r="37" ht="15.75" customHeight="1">
      <c r="A37" s="9"/>
      <c r="B37" s="6" t="s">
        <v>9</v>
      </c>
      <c r="C37" s="7">
        <v>2.0</v>
      </c>
      <c r="D37" s="7">
        <v>4.5</v>
      </c>
      <c r="E37" s="7">
        <v>2.0</v>
      </c>
      <c r="H37" s="8">
        <f t="shared" si="1"/>
        <v>8.5</v>
      </c>
    </row>
    <row r="38" ht="15.75" customHeight="1">
      <c r="A38" s="5">
        <v>45827.0</v>
      </c>
      <c r="B38" s="6" t="s">
        <v>8</v>
      </c>
      <c r="C38" s="7">
        <v>3.5</v>
      </c>
      <c r="D38" s="7">
        <v>4.4</v>
      </c>
      <c r="E38" s="7">
        <v>3.0</v>
      </c>
      <c r="H38" s="8">
        <f t="shared" si="1"/>
        <v>10.9</v>
      </c>
      <c r="I38" s="8">
        <f>H38+H39</f>
        <v>18.9</v>
      </c>
    </row>
    <row r="39" ht="15.75" customHeight="1">
      <c r="A39" s="9"/>
      <c r="B39" s="6" t="s">
        <v>9</v>
      </c>
      <c r="C39" s="7">
        <v>2.0</v>
      </c>
      <c r="D39" s="7">
        <v>4.0</v>
      </c>
      <c r="E39" s="7">
        <v>2.0</v>
      </c>
      <c r="H39" s="8">
        <f t="shared" si="1"/>
        <v>8</v>
      </c>
    </row>
    <row r="40" ht="15.75" customHeight="1">
      <c r="A40" s="5">
        <v>45828.0</v>
      </c>
      <c r="B40" s="6" t="s">
        <v>8</v>
      </c>
      <c r="C40" s="7">
        <v>3.0</v>
      </c>
      <c r="D40" s="7">
        <v>4.5</v>
      </c>
      <c r="E40" s="7">
        <v>1.9</v>
      </c>
      <c r="H40" s="8">
        <f t="shared" si="1"/>
        <v>9.4</v>
      </c>
      <c r="I40" s="8">
        <f>H40+H41</f>
        <v>16.9</v>
      </c>
    </row>
    <row r="41" ht="15.75" customHeight="1">
      <c r="A41" s="9"/>
      <c r="B41" s="6" t="s">
        <v>9</v>
      </c>
      <c r="C41" s="7">
        <v>2.0</v>
      </c>
      <c r="D41" s="7">
        <v>3.5</v>
      </c>
      <c r="E41" s="7">
        <v>2.0</v>
      </c>
      <c r="H41" s="8">
        <f t="shared" si="1"/>
        <v>7.5</v>
      </c>
    </row>
    <row r="42" ht="15.75" customHeight="1">
      <c r="A42" s="5">
        <v>45829.0</v>
      </c>
      <c r="B42" s="6" t="s">
        <v>8</v>
      </c>
      <c r="C42" s="7">
        <v>3.5</v>
      </c>
      <c r="D42" s="7">
        <v>3.5</v>
      </c>
      <c r="E42" s="7">
        <v>1.5</v>
      </c>
      <c r="H42" s="8">
        <f t="shared" si="1"/>
        <v>8.5</v>
      </c>
      <c r="I42" s="8">
        <f>H42+H43</f>
        <v>14.5</v>
      </c>
    </row>
    <row r="43" ht="15.75" customHeight="1">
      <c r="A43" s="9"/>
      <c r="B43" s="6" t="s">
        <v>9</v>
      </c>
      <c r="C43" s="7">
        <v>2.3</v>
      </c>
      <c r="D43" s="7">
        <v>2.2</v>
      </c>
      <c r="E43" s="7">
        <v>1.5</v>
      </c>
      <c r="H43" s="8">
        <f t="shared" si="1"/>
        <v>6</v>
      </c>
    </row>
    <row r="44" ht="15.75" customHeight="1">
      <c r="A44" s="5">
        <v>45830.0</v>
      </c>
      <c r="B44" s="6" t="s">
        <v>8</v>
      </c>
      <c r="C44" s="7">
        <v>2.0</v>
      </c>
      <c r="D44" s="7">
        <v>3.5</v>
      </c>
      <c r="E44" s="7">
        <v>2.0</v>
      </c>
      <c r="H44" s="8">
        <f t="shared" si="1"/>
        <v>7.5</v>
      </c>
      <c r="I44" s="8">
        <f>H44+H45</f>
        <v>14.9</v>
      </c>
    </row>
    <row r="45" ht="15.75" customHeight="1">
      <c r="A45" s="9"/>
      <c r="B45" s="6" t="s">
        <v>9</v>
      </c>
      <c r="C45" s="7">
        <v>2.0</v>
      </c>
      <c r="D45" s="7">
        <v>3.4</v>
      </c>
      <c r="E45" s="7">
        <v>2.0</v>
      </c>
      <c r="H45" s="8">
        <f t="shared" si="1"/>
        <v>7.4</v>
      </c>
    </row>
    <row r="46" ht="15.75" customHeight="1">
      <c r="A46" s="5">
        <v>45831.0</v>
      </c>
      <c r="B46" s="6" t="s">
        <v>8</v>
      </c>
      <c r="C46" s="7">
        <v>3.5</v>
      </c>
      <c r="D46" s="7">
        <v>1.7</v>
      </c>
      <c r="E46" s="7">
        <v>1.5</v>
      </c>
      <c r="H46" s="8">
        <f t="shared" si="1"/>
        <v>6.7</v>
      </c>
      <c r="I46" s="8">
        <f>H46+H47</f>
        <v>11.4</v>
      </c>
    </row>
    <row r="47" ht="15.75" customHeight="1">
      <c r="A47" s="9"/>
      <c r="B47" s="6" t="s">
        <v>9</v>
      </c>
      <c r="C47" s="7">
        <v>2.2</v>
      </c>
      <c r="D47" s="7">
        <v>1.0</v>
      </c>
      <c r="E47" s="7">
        <v>1.5</v>
      </c>
      <c r="H47" s="8">
        <f t="shared" si="1"/>
        <v>4.7</v>
      </c>
    </row>
    <row r="48" ht="15.75" customHeight="1">
      <c r="A48" s="5">
        <v>45832.0</v>
      </c>
      <c r="B48" s="6" t="s">
        <v>8</v>
      </c>
      <c r="C48" s="7">
        <v>3.0</v>
      </c>
      <c r="D48" s="7">
        <v>3.5</v>
      </c>
      <c r="E48" s="7">
        <v>2.5</v>
      </c>
      <c r="H48" s="8">
        <f t="shared" si="1"/>
        <v>9</v>
      </c>
      <c r="I48" s="8">
        <f>H48+H49</f>
        <v>12.5</v>
      </c>
    </row>
    <row r="49" ht="15.75" customHeight="1">
      <c r="A49" s="9"/>
      <c r="B49" s="6" t="s">
        <v>9</v>
      </c>
      <c r="C49" s="7">
        <v>2.0</v>
      </c>
      <c r="D49" s="7">
        <v>1.5</v>
      </c>
      <c r="E49" s="7">
        <v>0.0</v>
      </c>
      <c r="H49" s="8">
        <f t="shared" si="1"/>
        <v>3.5</v>
      </c>
    </row>
    <row r="50" ht="15.75" customHeight="1">
      <c r="A50" s="5">
        <v>45833.0</v>
      </c>
      <c r="B50" s="6" t="s">
        <v>8</v>
      </c>
      <c r="C50" s="7">
        <v>3.5</v>
      </c>
      <c r="D50" s="7">
        <v>2.3</v>
      </c>
      <c r="E50" s="7">
        <v>2.0</v>
      </c>
      <c r="H50" s="8">
        <f t="shared" si="1"/>
        <v>7.8</v>
      </c>
      <c r="I50" s="8">
        <f>H50+H51</f>
        <v>9.8</v>
      </c>
    </row>
    <row r="51" ht="15.75" customHeight="1">
      <c r="A51" s="9"/>
      <c r="B51" s="6" t="s">
        <v>9</v>
      </c>
      <c r="C51" s="7">
        <v>2.0</v>
      </c>
      <c r="D51" s="7">
        <v>0.0</v>
      </c>
      <c r="E51" s="7">
        <v>0.0</v>
      </c>
      <c r="H51" s="8">
        <f t="shared" si="1"/>
        <v>2</v>
      </c>
    </row>
    <row r="52" ht="15.75" customHeight="1">
      <c r="A52" s="5">
        <v>45834.0</v>
      </c>
      <c r="B52" s="6" t="s">
        <v>8</v>
      </c>
      <c r="C52" s="7">
        <v>3.0</v>
      </c>
      <c r="D52" s="7">
        <v>2.2</v>
      </c>
      <c r="E52" s="7">
        <v>1.2</v>
      </c>
      <c r="H52" s="8">
        <f t="shared" si="1"/>
        <v>6.4</v>
      </c>
      <c r="I52" s="8">
        <f>H52+H53</f>
        <v>8.4</v>
      </c>
    </row>
    <row r="53" ht="15.75" customHeight="1">
      <c r="A53" s="9"/>
      <c r="B53" s="6" t="s">
        <v>9</v>
      </c>
      <c r="C53" s="7">
        <v>0.5</v>
      </c>
      <c r="D53" s="7">
        <v>1.5</v>
      </c>
      <c r="E53" s="7">
        <v>0.0</v>
      </c>
      <c r="H53" s="8">
        <f t="shared" si="1"/>
        <v>2</v>
      </c>
    </row>
    <row r="54" ht="15.75" customHeight="1">
      <c r="A54" s="5">
        <v>45835.0</v>
      </c>
      <c r="B54" s="6" t="s">
        <v>8</v>
      </c>
      <c r="C54" s="7">
        <v>3.5</v>
      </c>
      <c r="D54" s="7">
        <v>1.0</v>
      </c>
      <c r="E54" s="7">
        <v>1.0</v>
      </c>
      <c r="H54" s="8">
        <f t="shared" si="1"/>
        <v>5.5</v>
      </c>
      <c r="I54" s="8">
        <f>H54+H55</f>
        <v>5.5</v>
      </c>
    </row>
    <row r="55" ht="15.75" customHeight="1">
      <c r="A55" s="9"/>
      <c r="B55" s="6" t="s">
        <v>9</v>
      </c>
      <c r="H55" s="8">
        <f t="shared" si="1"/>
        <v>0</v>
      </c>
    </row>
    <row r="56" ht="15.75" customHeight="1">
      <c r="A56" s="5">
        <v>45836.0</v>
      </c>
      <c r="B56" s="6" t="s">
        <v>8</v>
      </c>
      <c r="C56" s="7">
        <v>3.8</v>
      </c>
      <c r="D56" s="7">
        <v>0.0</v>
      </c>
      <c r="E56" s="7">
        <v>1.0</v>
      </c>
      <c r="H56" s="8">
        <f t="shared" si="1"/>
        <v>4.8</v>
      </c>
      <c r="I56" s="8">
        <f>H56+H57</f>
        <v>7.3</v>
      </c>
    </row>
    <row r="57" ht="15.75" customHeight="1">
      <c r="A57" s="9"/>
      <c r="B57" s="6" t="s">
        <v>9</v>
      </c>
      <c r="C57" s="7">
        <v>2.5</v>
      </c>
      <c r="D57" s="7">
        <v>0.0</v>
      </c>
      <c r="E57" s="7">
        <v>0.0</v>
      </c>
      <c r="H57" s="8">
        <f t="shared" si="1"/>
        <v>2.5</v>
      </c>
    </row>
    <row r="58" ht="15.75" customHeight="1">
      <c r="A58" s="5">
        <v>45837.0</v>
      </c>
      <c r="B58" s="6" t="s">
        <v>8</v>
      </c>
      <c r="C58" s="7">
        <v>3.0</v>
      </c>
      <c r="D58" s="7">
        <v>0.0</v>
      </c>
      <c r="E58" s="7">
        <v>0.0</v>
      </c>
      <c r="H58" s="8">
        <f t="shared" si="1"/>
        <v>3</v>
      </c>
      <c r="I58" s="8">
        <f>H58+H59</f>
        <v>5.8</v>
      </c>
    </row>
    <row r="59" ht="15.75" customHeight="1">
      <c r="A59" s="9"/>
      <c r="B59" s="6" t="s">
        <v>9</v>
      </c>
      <c r="C59" s="7">
        <v>2.8</v>
      </c>
      <c r="D59" s="7">
        <v>0.0</v>
      </c>
      <c r="E59" s="7">
        <v>0.0</v>
      </c>
      <c r="H59" s="8">
        <f t="shared" si="1"/>
        <v>2.8</v>
      </c>
    </row>
    <row r="60" ht="15.75" customHeight="1">
      <c r="A60" s="5">
        <v>45838.0</v>
      </c>
      <c r="B60" s="6" t="s">
        <v>8</v>
      </c>
      <c r="C60" s="7">
        <v>3.4</v>
      </c>
      <c r="D60" s="7">
        <v>0.0</v>
      </c>
      <c r="E60" s="7">
        <v>1.5</v>
      </c>
      <c r="H60" s="8">
        <f t="shared" si="1"/>
        <v>4.9</v>
      </c>
      <c r="I60" s="8">
        <f>H60+H61</f>
        <v>7.4</v>
      </c>
    </row>
    <row r="61" ht="15.75" customHeight="1">
      <c r="A61" s="9"/>
      <c r="B61" s="6" t="s">
        <v>9</v>
      </c>
      <c r="C61" s="7">
        <v>2.5</v>
      </c>
      <c r="D61" s="7">
        <v>0.0</v>
      </c>
      <c r="E61" s="7">
        <v>0.0</v>
      </c>
      <c r="H61" s="8">
        <f t="shared" si="1"/>
        <v>2.5</v>
      </c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mergeCells count="3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7" width="14.86"/>
    <col customWidth="1" min="18" max="18" width="17.71"/>
    <col customWidth="1" min="19" max="19" width="8.71"/>
    <col customWidth="1" min="20" max="20" width="20.29"/>
    <col customWidth="1" min="21" max="21" width="16.71"/>
    <col customWidth="1" min="22" max="22" width="15.57"/>
    <col customWidth="1" min="23" max="32" width="8.71"/>
  </cols>
  <sheetData>
    <row r="1">
      <c r="A1" s="3" t="s">
        <v>10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2" t="s">
        <v>6</v>
      </c>
      <c r="R1" s="3" t="s">
        <v>21</v>
      </c>
      <c r="S1" s="4"/>
      <c r="T1" s="11" t="s">
        <v>22</v>
      </c>
      <c r="U1" s="11" t="s">
        <v>23</v>
      </c>
      <c r="V1" s="11" t="s">
        <v>24</v>
      </c>
      <c r="W1" s="12" t="s">
        <v>25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2" t="s">
        <v>31</v>
      </c>
      <c r="AD1" s="11" t="s">
        <v>28</v>
      </c>
      <c r="AE1" s="4"/>
      <c r="AF1" s="4"/>
    </row>
    <row r="2">
      <c r="A2" s="13">
        <v>46174.0</v>
      </c>
      <c r="B2" s="6" t="s">
        <v>8</v>
      </c>
      <c r="F2" s="7">
        <v>2.64</v>
      </c>
      <c r="G2" s="7">
        <v>3.26</v>
      </c>
      <c r="H2" s="7">
        <v>0.0</v>
      </c>
      <c r="I2" s="7">
        <v>1.18</v>
      </c>
      <c r="J2" s="7">
        <v>2.64</v>
      </c>
      <c r="K2" s="7">
        <v>2.72</v>
      </c>
      <c r="L2" s="7">
        <v>4.16</v>
      </c>
      <c r="M2" s="7">
        <v>2.8</v>
      </c>
      <c r="N2" s="7">
        <v>3.8</v>
      </c>
      <c r="Q2" s="8">
        <f>sum(C2:P2)</f>
        <v>23.2</v>
      </c>
      <c r="R2" s="8">
        <f>Q2+Q3</f>
        <v>45.76</v>
      </c>
    </row>
    <row r="3">
      <c r="A3" s="9"/>
      <c r="B3" s="6" t="s">
        <v>9</v>
      </c>
      <c r="F3" s="7">
        <v>2.75</v>
      </c>
      <c r="G3" s="7">
        <v>2.81</v>
      </c>
      <c r="H3" s="7">
        <v>0.0</v>
      </c>
      <c r="I3" s="7">
        <v>1.27</v>
      </c>
      <c r="J3" s="7">
        <v>2.74</v>
      </c>
      <c r="K3" s="7">
        <v>2.99</v>
      </c>
      <c r="L3" s="7">
        <v>4.0</v>
      </c>
      <c r="M3" s="7">
        <v>2.6</v>
      </c>
      <c r="N3" s="7">
        <v>3.4</v>
      </c>
      <c r="Q3" s="8">
        <f>SUM(C3:N3)</f>
        <v>22.56</v>
      </c>
    </row>
    <row r="4">
      <c r="A4" s="13">
        <v>46175.0</v>
      </c>
      <c r="B4" s="6" t="s">
        <v>8</v>
      </c>
      <c r="F4" s="7">
        <v>2.61</v>
      </c>
      <c r="G4" s="7">
        <v>2.47</v>
      </c>
      <c r="H4" s="7">
        <v>0.0</v>
      </c>
      <c r="I4" s="7">
        <v>0.94</v>
      </c>
      <c r="J4" s="7">
        <v>2.3</v>
      </c>
      <c r="K4" s="7">
        <v>2.86</v>
      </c>
      <c r="L4" s="7">
        <v>3.1</v>
      </c>
      <c r="M4" s="7">
        <v>2.61</v>
      </c>
      <c r="N4" s="7">
        <v>3.52</v>
      </c>
      <c r="Q4" s="8">
        <f t="shared" ref="Q4:Q69" si="1">sum(C4:P4)</f>
        <v>20.41</v>
      </c>
      <c r="R4" s="8">
        <f>Q4+Q5</f>
        <v>45.19</v>
      </c>
    </row>
    <row r="5">
      <c r="A5" s="9"/>
      <c r="B5" s="6" t="s">
        <v>9</v>
      </c>
      <c r="F5" s="7">
        <v>2.43</v>
      </c>
      <c r="G5" s="7">
        <v>2.45</v>
      </c>
      <c r="H5" s="7">
        <v>0.0</v>
      </c>
      <c r="I5" s="7">
        <v>1.0</v>
      </c>
      <c r="J5" s="7">
        <v>3.03</v>
      </c>
      <c r="K5" s="7">
        <v>2.91</v>
      </c>
      <c r="L5" s="7">
        <v>4.94</v>
      </c>
      <c r="M5" s="7">
        <v>3.85</v>
      </c>
      <c r="N5" s="7">
        <v>4.17</v>
      </c>
      <c r="Q5" s="8">
        <f t="shared" si="1"/>
        <v>24.78</v>
      </c>
    </row>
    <row r="6">
      <c r="A6" s="13">
        <v>46176.0</v>
      </c>
      <c r="B6" s="6" t="s">
        <v>8</v>
      </c>
      <c r="F6" s="7">
        <v>2.64</v>
      </c>
      <c r="G6" s="7">
        <v>3.0</v>
      </c>
      <c r="H6" s="7">
        <v>0.0</v>
      </c>
      <c r="I6" s="7">
        <v>1.3</v>
      </c>
      <c r="J6" s="7">
        <v>3.04</v>
      </c>
      <c r="K6" s="7">
        <v>3.51</v>
      </c>
      <c r="L6" s="7">
        <v>3.95</v>
      </c>
      <c r="M6" s="7">
        <v>2.37</v>
      </c>
      <c r="N6" s="7">
        <v>4.02</v>
      </c>
      <c r="Q6" s="8">
        <f t="shared" si="1"/>
        <v>23.83</v>
      </c>
      <c r="R6" s="8">
        <f>Q6+Q7</f>
        <v>50.34</v>
      </c>
    </row>
    <row r="7">
      <c r="A7" s="9"/>
      <c r="B7" s="6" t="s">
        <v>9</v>
      </c>
      <c r="F7" s="7">
        <v>2.88</v>
      </c>
      <c r="G7" s="7">
        <v>3.92</v>
      </c>
      <c r="H7" s="7">
        <v>0.0</v>
      </c>
      <c r="I7" s="7">
        <v>1.4</v>
      </c>
      <c r="J7" s="7">
        <v>2.59</v>
      </c>
      <c r="K7" s="7">
        <v>3.58</v>
      </c>
      <c r="L7" s="7">
        <v>4.37</v>
      </c>
      <c r="M7" s="7">
        <v>3.21</v>
      </c>
      <c r="N7" s="7">
        <v>4.56</v>
      </c>
      <c r="Q7" s="8">
        <f t="shared" si="1"/>
        <v>26.51</v>
      </c>
    </row>
    <row r="8">
      <c r="A8" s="13">
        <v>46177.0</v>
      </c>
      <c r="B8" s="6" t="s">
        <v>8</v>
      </c>
      <c r="F8" s="7">
        <v>3.31</v>
      </c>
      <c r="G8" s="7">
        <v>3.62</v>
      </c>
      <c r="H8" s="7">
        <v>0.0</v>
      </c>
      <c r="I8" s="7">
        <v>0.93</v>
      </c>
      <c r="J8" s="7">
        <v>3.98</v>
      </c>
      <c r="K8" s="7">
        <v>2.7</v>
      </c>
      <c r="L8" s="7">
        <v>2.65</v>
      </c>
      <c r="M8" s="7">
        <v>3.63</v>
      </c>
      <c r="N8" s="7">
        <v>3.01</v>
      </c>
      <c r="Q8" s="8">
        <f t="shared" si="1"/>
        <v>23.83</v>
      </c>
      <c r="R8" s="8">
        <f>Q8+Q9</f>
        <v>47.77</v>
      </c>
    </row>
    <row r="9">
      <c r="A9" s="9"/>
      <c r="B9" s="6" t="s">
        <v>9</v>
      </c>
      <c r="F9" s="7">
        <v>3.02</v>
      </c>
      <c r="G9" s="7">
        <v>3.69</v>
      </c>
      <c r="H9" s="7">
        <v>0.0</v>
      </c>
      <c r="I9" s="7">
        <v>0.5</v>
      </c>
      <c r="J9" s="7">
        <v>2.74</v>
      </c>
      <c r="K9" s="7">
        <v>2.92</v>
      </c>
      <c r="L9" s="7">
        <v>4.01</v>
      </c>
      <c r="M9" s="7">
        <v>3.03</v>
      </c>
      <c r="N9" s="7">
        <v>4.03</v>
      </c>
      <c r="Q9" s="8">
        <f t="shared" si="1"/>
        <v>23.94</v>
      </c>
    </row>
    <row r="10">
      <c r="A10" s="13">
        <v>46178.0</v>
      </c>
      <c r="B10" s="6" t="s">
        <v>8</v>
      </c>
      <c r="F10" s="7">
        <v>2.93</v>
      </c>
      <c r="G10" s="7">
        <v>3.95</v>
      </c>
      <c r="H10" s="7">
        <v>0.0</v>
      </c>
      <c r="I10" s="7">
        <v>0.5</v>
      </c>
      <c r="J10" s="7">
        <v>2.76</v>
      </c>
      <c r="K10" s="7">
        <v>3.4</v>
      </c>
      <c r="L10" s="7">
        <v>4.32</v>
      </c>
      <c r="M10" s="7">
        <v>2.71</v>
      </c>
      <c r="N10" s="7">
        <v>3.9</v>
      </c>
      <c r="Q10" s="8">
        <f t="shared" si="1"/>
        <v>24.47</v>
      </c>
      <c r="R10" s="8">
        <f>Q10+Q11</f>
        <v>52.47</v>
      </c>
    </row>
    <row r="11">
      <c r="A11" s="9"/>
      <c r="B11" s="6" t="s">
        <v>9</v>
      </c>
      <c r="F11" s="7">
        <v>2.89</v>
      </c>
      <c r="G11" s="7">
        <v>3.33</v>
      </c>
      <c r="H11" s="7">
        <v>0.0</v>
      </c>
      <c r="I11" s="7">
        <v>0.5</v>
      </c>
      <c r="J11" s="7">
        <v>2.19</v>
      </c>
      <c r="K11" s="7">
        <v>3.24</v>
      </c>
      <c r="L11" s="7">
        <v>6.35</v>
      </c>
      <c r="M11" s="7">
        <v>2.56</v>
      </c>
      <c r="N11" s="7">
        <v>4.54</v>
      </c>
      <c r="P11" s="7">
        <v>2.4</v>
      </c>
      <c r="Q11" s="8">
        <f t="shared" si="1"/>
        <v>28</v>
      </c>
    </row>
    <row r="12">
      <c r="A12" s="13">
        <v>46179.0</v>
      </c>
      <c r="B12" s="6" t="s">
        <v>8</v>
      </c>
      <c r="F12" s="7">
        <v>3.15</v>
      </c>
      <c r="G12" s="7">
        <v>3.81</v>
      </c>
      <c r="H12" s="7">
        <v>0.0</v>
      </c>
      <c r="I12" s="7">
        <v>0.0</v>
      </c>
      <c r="J12" s="7">
        <v>2.72</v>
      </c>
      <c r="K12" s="7">
        <v>2.83</v>
      </c>
      <c r="L12" s="7">
        <v>4.17</v>
      </c>
      <c r="M12" s="7">
        <v>3.0</v>
      </c>
      <c r="N12" s="7">
        <v>4.29</v>
      </c>
      <c r="O12" s="7">
        <v>0.0</v>
      </c>
      <c r="P12" s="7">
        <v>0.0</v>
      </c>
      <c r="Q12" s="8">
        <f t="shared" si="1"/>
        <v>23.97</v>
      </c>
      <c r="R12" s="8">
        <f>Q12+Q13</f>
        <v>47.83</v>
      </c>
    </row>
    <row r="13">
      <c r="A13" s="9"/>
      <c r="B13" s="6" t="s">
        <v>9</v>
      </c>
      <c r="F13" s="7">
        <v>2.79</v>
      </c>
      <c r="G13" s="7">
        <v>2.94</v>
      </c>
      <c r="H13" s="7">
        <v>0.0</v>
      </c>
      <c r="I13" s="7">
        <v>0.5</v>
      </c>
      <c r="J13" s="7">
        <v>2.4</v>
      </c>
      <c r="K13" s="7">
        <v>2.89</v>
      </c>
      <c r="L13" s="7">
        <v>3.87</v>
      </c>
      <c r="M13" s="7">
        <v>3.21</v>
      </c>
      <c r="N13" s="7">
        <v>2.3</v>
      </c>
      <c r="O13" s="7">
        <v>1.4</v>
      </c>
      <c r="P13" s="7">
        <v>1.56</v>
      </c>
      <c r="Q13" s="8">
        <f t="shared" si="1"/>
        <v>23.86</v>
      </c>
    </row>
    <row r="14">
      <c r="A14" s="13">
        <v>46180.0</v>
      </c>
      <c r="B14" s="6" t="s">
        <v>8</v>
      </c>
      <c r="F14" s="7">
        <v>2.58</v>
      </c>
      <c r="G14" s="7">
        <v>3.27</v>
      </c>
      <c r="H14" s="7">
        <v>0.0</v>
      </c>
      <c r="I14" s="7">
        <v>0.5</v>
      </c>
      <c r="J14" s="7">
        <v>2.32</v>
      </c>
      <c r="K14" s="7">
        <v>2.74</v>
      </c>
      <c r="L14" s="7">
        <v>3.4</v>
      </c>
      <c r="M14" s="7">
        <v>3.32</v>
      </c>
      <c r="N14" s="7">
        <v>4.35</v>
      </c>
      <c r="O14" s="7">
        <v>1.0</v>
      </c>
      <c r="P14" s="7">
        <v>4.5</v>
      </c>
      <c r="Q14" s="8">
        <f t="shared" si="1"/>
        <v>27.98</v>
      </c>
      <c r="R14" s="8">
        <f>Q14+Q15</f>
        <v>53.14</v>
      </c>
    </row>
    <row r="15">
      <c r="A15" s="9"/>
      <c r="B15" s="6" t="s">
        <v>9</v>
      </c>
      <c r="F15" s="7">
        <v>2.35</v>
      </c>
      <c r="G15" s="7">
        <v>3.18</v>
      </c>
      <c r="H15" s="7">
        <v>0.0</v>
      </c>
      <c r="I15" s="7">
        <v>1.36</v>
      </c>
      <c r="J15" s="7">
        <v>2.57</v>
      </c>
      <c r="K15" s="7">
        <v>2.39</v>
      </c>
      <c r="L15" s="7">
        <v>3.07</v>
      </c>
      <c r="M15" s="7">
        <v>2.73</v>
      </c>
      <c r="N15" s="7">
        <v>4.17</v>
      </c>
      <c r="O15" s="7">
        <v>0.5</v>
      </c>
      <c r="P15" s="7">
        <v>2.84</v>
      </c>
      <c r="Q15" s="8">
        <f t="shared" si="1"/>
        <v>25.16</v>
      </c>
    </row>
    <row r="16">
      <c r="A16" s="13">
        <v>46181.0</v>
      </c>
      <c r="B16" s="6" t="s">
        <v>8</v>
      </c>
      <c r="F16" s="7">
        <v>3.43</v>
      </c>
      <c r="G16" s="7">
        <v>4.17</v>
      </c>
      <c r="H16" s="7">
        <v>0.0</v>
      </c>
      <c r="I16" s="7">
        <v>0.5</v>
      </c>
      <c r="J16" s="7">
        <v>3.277</v>
      </c>
      <c r="K16" s="7">
        <v>2.41</v>
      </c>
      <c r="L16" s="7">
        <v>4.05</v>
      </c>
      <c r="M16" s="7">
        <v>3.0</v>
      </c>
      <c r="N16" s="7">
        <v>4.37</v>
      </c>
      <c r="O16" s="7">
        <v>1.0</v>
      </c>
      <c r="P16" s="7">
        <v>4.39</v>
      </c>
      <c r="Q16" s="8">
        <f t="shared" si="1"/>
        <v>30.597</v>
      </c>
      <c r="R16" s="8">
        <f>Q16+Q17</f>
        <v>54.647</v>
      </c>
    </row>
    <row r="17">
      <c r="A17" s="9"/>
      <c r="B17" s="6" t="s">
        <v>9</v>
      </c>
      <c r="F17" s="7">
        <v>1.79</v>
      </c>
      <c r="G17" s="7">
        <v>2.92</v>
      </c>
      <c r="H17" s="7">
        <v>0.0</v>
      </c>
      <c r="I17" s="7">
        <v>0.0</v>
      </c>
      <c r="J17" s="7">
        <v>2.31</v>
      </c>
      <c r="K17" s="7">
        <v>3.05</v>
      </c>
      <c r="L17" s="7">
        <v>3.76</v>
      </c>
      <c r="M17" s="7">
        <v>2.79</v>
      </c>
      <c r="N17" s="7">
        <v>3.72</v>
      </c>
      <c r="O17" s="7">
        <v>0.5</v>
      </c>
      <c r="P17" s="7">
        <v>3.21</v>
      </c>
      <c r="Q17" s="8">
        <f t="shared" si="1"/>
        <v>24.05</v>
      </c>
    </row>
    <row r="18">
      <c r="A18" s="13">
        <v>46182.0</v>
      </c>
      <c r="B18" s="6" t="s">
        <v>8</v>
      </c>
      <c r="F18" s="7">
        <v>3.4</v>
      </c>
      <c r="G18" s="7">
        <v>3.71</v>
      </c>
      <c r="H18" s="7">
        <v>0.0</v>
      </c>
      <c r="I18" s="7">
        <v>0.0</v>
      </c>
      <c r="J18" s="7">
        <v>2.38</v>
      </c>
      <c r="K18" s="7">
        <v>4.0</v>
      </c>
      <c r="L18" s="7">
        <v>4.23</v>
      </c>
      <c r="M18" s="7">
        <v>2.3</v>
      </c>
      <c r="N18" s="7">
        <v>4.81</v>
      </c>
      <c r="O18" s="7">
        <v>0.0</v>
      </c>
      <c r="P18" s="7">
        <v>4.0</v>
      </c>
      <c r="Q18" s="8">
        <f t="shared" si="1"/>
        <v>28.83</v>
      </c>
      <c r="R18" s="8">
        <f>Q18+Q19</f>
        <v>57.4</v>
      </c>
    </row>
    <row r="19">
      <c r="A19" s="9"/>
      <c r="B19" s="6" t="s">
        <v>9</v>
      </c>
      <c r="F19" s="7">
        <v>2.4</v>
      </c>
      <c r="G19" s="7">
        <v>3.74</v>
      </c>
      <c r="H19" s="7">
        <v>0.0</v>
      </c>
      <c r="I19" s="7">
        <v>1.5</v>
      </c>
      <c r="J19" s="7">
        <v>2.3</v>
      </c>
      <c r="K19" s="7">
        <v>2.14</v>
      </c>
      <c r="L19" s="7">
        <v>4.2</v>
      </c>
      <c r="M19" s="7">
        <v>3.0</v>
      </c>
      <c r="N19" s="7">
        <v>4.45</v>
      </c>
      <c r="O19" s="7">
        <v>1.14</v>
      </c>
      <c r="P19" s="7">
        <v>3.7</v>
      </c>
      <c r="Q19" s="8">
        <f t="shared" si="1"/>
        <v>28.57</v>
      </c>
    </row>
    <row r="20">
      <c r="A20" s="13">
        <v>46183.0</v>
      </c>
      <c r="B20" s="6" t="s">
        <v>8</v>
      </c>
      <c r="F20" s="7">
        <v>2.7</v>
      </c>
      <c r="G20" s="7">
        <v>3.65</v>
      </c>
      <c r="H20" s="7">
        <v>0.0</v>
      </c>
      <c r="I20" s="7">
        <v>0.0</v>
      </c>
      <c r="J20" s="7">
        <v>2.73</v>
      </c>
      <c r="K20" s="7">
        <v>2.28</v>
      </c>
      <c r="L20" s="7">
        <v>4.11</v>
      </c>
      <c r="M20" s="7">
        <v>2.96</v>
      </c>
      <c r="N20" s="7">
        <v>4.3</v>
      </c>
      <c r="O20" s="7">
        <v>0.0</v>
      </c>
      <c r="P20" s="7">
        <v>3.6</v>
      </c>
      <c r="Q20" s="8">
        <f t="shared" si="1"/>
        <v>26.33</v>
      </c>
      <c r="R20" s="8">
        <f>Q20+Q21</f>
        <v>48.44</v>
      </c>
    </row>
    <row r="21" ht="15.75" customHeight="1">
      <c r="A21" s="9"/>
      <c r="B21" s="6" t="s">
        <v>9</v>
      </c>
      <c r="F21" s="7">
        <v>2.12</v>
      </c>
      <c r="G21" s="7">
        <v>3.04</v>
      </c>
      <c r="H21" s="7">
        <v>0.0</v>
      </c>
      <c r="I21" s="7">
        <v>0.0</v>
      </c>
      <c r="J21" s="7">
        <v>2.21</v>
      </c>
      <c r="K21" s="7">
        <v>2.3</v>
      </c>
      <c r="L21" s="7">
        <v>3.62</v>
      </c>
      <c r="M21" s="7">
        <v>2.34</v>
      </c>
      <c r="N21" s="7">
        <v>3.22</v>
      </c>
      <c r="O21" s="7">
        <v>0.0</v>
      </c>
      <c r="P21" s="7">
        <v>3.26</v>
      </c>
      <c r="Q21" s="8">
        <f t="shared" si="1"/>
        <v>22.11</v>
      </c>
    </row>
    <row r="22" ht="15.75" customHeight="1">
      <c r="A22" s="13">
        <v>46184.0</v>
      </c>
      <c r="B22" s="6" t="s">
        <v>8</v>
      </c>
      <c r="F22" s="7">
        <v>2.71</v>
      </c>
      <c r="G22" s="7">
        <v>4.11</v>
      </c>
      <c r="H22" s="7">
        <v>0.0</v>
      </c>
      <c r="I22" s="7">
        <v>0.0</v>
      </c>
      <c r="J22" s="7">
        <v>2.1</v>
      </c>
      <c r="K22" s="7">
        <v>2.29</v>
      </c>
      <c r="L22" s="7">
        <v>4.48</v>
      </c>
      <c r="M22" s="7">
        <v>2.85</v>
      </c>
      <c r="N22" s="7">
        <v>3.65</v>
      </c>
      <c r="O22" s="7">
        <v>0.0</v>
      </c>
      <c r="P22" s="7">
        <v>0.0</v>
      </c>
      <c r="Q22" s="8">
        <f t="shared" si="1"/>
        <v>22.19</v>
      </c>
      <c r="R22" s="8">
        <f>Q22+Q23</f>
        <v>43.57</v>
      </c>
    </row>
    <row r="23" ht="15.75" customHeight="1">
      <c r="A23" s="9"/>
      <c r="B23" s="6" t="s">
        <v>9</v>
      </c>
      <c r="F23" s="7">
        <v>2.4</v>
      </c>
      <c r="G23" s="7">
        <v>3.26</v>
      </c>
      <c r="H23" s="7">
        <v>0.0</v>
      </c>
      <c r="I23" s="7">
        <v>0.0</v>
      </c>
      <c r="J23" s="7">
        <v>1.92</v>
      </c>
      <c r="K23" s="7">
        <v>2.4</v>
      </c>
      <c r="L23" s="7">
        <v>3.4</v>
      </c>
      <c r="M23" s="7">
        <v>2.54</v>
      </c>
      <c r="N23" s="7">
        <v>3.31</v>
      </c>
      <c r="O23" s="7">
        <v>0.0</v>
      </c>
      <c r="P23" s="7">
        <v>2.15</v>
      </c>
      <c r="Q23" s="8">
        <f t="shared" si="1"/>
        <v>21.38</v>
      </c>
    </row>
    <row r="24" ht="15.75" customHeight="1">
      <c r="A24" s="13">
        <v>46185.0</v>
      </c>
      <c r="B24" s="6" t="s">
        <v>8</v>
      </c>
      <c r="F24" s="7">
        <v>2.82</v>
      </c>
      <c r="G24" s="7">
        <v>3.6</v>
      </c>
      <c r="H24" s="7">
        <v>0.0</v>
      </c>
      <c r="I24" s="7">
        <v>0.98</v>
      </c>
      <c r="J24" s="7">
        <v>2.45</v>
      </c>
      <c r="K24" s="7">
        <v>2.75</v>
      </c>
      <c r="L24" s="7">
        <v>4.07</v>
      </c>
      <c r="M24" s="7">
        <v>2.95</v>
      </c>
      <c r="N24" s="7">
        <v>3.76</v>
      </c>
      <c r="O24" s="7">
        <v>1.2</v>
      </c>
      <c r="P24" s="7">
        <v>3.84</v>
      </c>
      <c r="Q24" s="8">
        <f t="shared" si="1"/>
        <v>28.42</v>
      </c>
      <c r="R24" s="8">
        <f>Q24+Q25</f>
        <v>51.51</v>
      </c>
    </row>
    <row r="25" ht="15.75" customHeight="1">
      <c r="A25" s="9"/>
      <c r="B25" s="6" t="s">
        <v>9</v>
      </c>
      <c r="D25" s="14"/>
      <c r="F25" s="7">
        <v>2.36</v>
      </c>
      <c r="G25" s="7">
        <v>2.96</v>
      </c>
      <c r="H25" s="7">
        <v>0.0</v>
      </c>
      <c r="I25" s="7">
        <v>0.9</v>
      </c>
      <c r="J25" s="7">
        <v>2.09</v>
      </c>
      <c r="K25" s="7">
        <v>1.63</v>
      </c>
      <c r="L25" s="7">
        <v>3.4</v>
      </c>
      <c r="M25" s="7">
        <v>2.5</v>
      </c>
      <c r="N25" s="7">
        <v>3.16</v>
      </c>
      <c r="O25" s="7">
        <v>1.1</v>
      </c>
      <c r="P25" s="7">
        <v>2.99</v>
      </c>
      <c r="Q25" s="8">
        <f t="shared" si="1"/>
        <v>23.09</v>
      </c>
    </row>
    <row r="26" ht="15.75" customHeight="1">
      <c r="A26" s="13">
        <v>46186.0</v>
      </c>
      <c r="B26" s="6" t="s">
        <v>8</v>
      </c>
      <c r="F26" s="7">
        <v>3.4</v>
      </c>
      <c r="G26" s="7">
        <v>3.75</v>
      </c>
      <c r="H26" s="7">
        <v>0.0</v>
      </c>
      <c r="I26" s="7">
        <v>0.0</v>
      </c>
      <c r="J26" s="7">
        <v>2.61</v>
      </c>
      <c r="K26" s="7">
        <v>2.84</v>
      </c>
      <c r="L26" s="7">
        <v>3.71</v>
      </c>
      <c r="M26" s="7">
        <v>3.2</v>
      </c>
      <c r="N26" s="7">
        <v>4.59</v>
      </c>
      <c r="O26" s="7">
        <v>2.1</v>
      </c>
      <c r="P26" s="7">
        <v>3.95</v>
      </c>
      <c r="Q26" s="8">
        <f t="shared" si="1"/>
        <v>30.15</v>
      </c>
      <c r="R26" s="8">
        <f>Q26+Q27</f>
        <v>57.98</v>
      </c>
    </row>
    <row r="27" ht="15.75" customHeight="1">
      <c r="A27" s="9"/>
      <c r="B27" s="6" t="s">
        <v>9</v>
      </c>
      <c r="F27" s="7">
        <v>3.56</v>
      </c>
      <c r="G27" s="7">
        <v>3.32</v>
      </c>
      <c r="H27" s="7">
        <v>0.0</v>
      </c>
      <c r="I27" s="7">
        <v>0.94</v>
      </c>
      <c r="J27" s="7">
        <v>2.61</v>
      </c>
      <c r="K27" s="7">
        <v>2.56</v>
      </c>
      <c r="L27" s="7">
        <v>3.9</v>
      </c>
      <c r="M27" s="7">
        <v>2.6</v>
      </c>
      <c r="N27" s="7">
        <v>3.76</v>
      </c>
      <c r="O27" s="7">
        <v>1.79</v>
      </c>
      <c r="P27" s="7">
        <v>2.79</v>
      </c>
      <c r="Q27" s="8">
        <f t="shared" si="1"/>
        <v>27.83</v>
      </c>
    </row>
    <row r="28" ht="15.75" customHeight="1">
      <c r="A28" s="13">
        <v>46187.0</v>
      </c>
      <c r="B28" s="6" t="s">
        <v>8</v>
      </c>
      <c r="F28" s="7">
        <v>3.59</v>
      </c>
      <c r="G28" s="7">
        <v>3.93</v>
      </c>
      <c r="H28" s="7">
        <v>0.0</v>
      </c>
      <c r="I28" s="7">
        <v>0.8</v>
      </c>
      <c r="J28" s="7">
        <v>2.76</v>
      </c>
      <c r="K28" s="7">
        <v>2.67</v>
      </c>
      <c r="L28" s="7">
        <v>4.27</v>
      </c>
      <c r="M28" s="7">
        <v>3.29</v>
      </c>
      <c r="N28" s="7">
        <v>4.6</v>
      </c>
      <c r="O28" s="7">
        <v>1.84</v>
      </c>
      <c r="P28" s="7">
        <v>4.2</v>
      </c>
      <c r="Q28" s="8">
        <f t="shared" si="1"/>
        <v>31.95</v>
      </c>
      <c r="R28" s="8">
        <f>Q28+Q29</f>
        <v>54.94</v>
      </c>
    </row>
    <row r="29" ht="15.75" customHeight="1">
      <c r="A29" s="9"/>
      <c r="B29" s="6" t="s">
        <v>9</v>
      </c>
      <c r="F29" s="7">
        <v>2.56</v>
      </c>
      <c r="G29" s="7">
        <v>2.7</v>
      </c>
      <c r="H29" s="7">
        <v>0.0</v>
      </c>
      <c r="I29" s="7">
        <v>0.83</v>
      </c>
      <c r="J29" s="7">
        <v>2.03</v>
      </c>
      <c r="K29" s="7">
        <v>2.76</v>
      </c>
      <c r="L29" s="7">
        <v>3.2</v>
      </c>
      <c r="M29" s="7">
        <v>2.21</v>
      </c>
      <c r="N29" s="7">
        <v>3.53</v>
      </c>
      <c r="O29" s="7">
        <v>0.0</v>
      </c>
      <c r="P29" s="7">
        <v>3.17</v>
      </c>
      <c r="Q29" s="8">
        <f t="shared" si="1"/>
        <v>22.99</v>
      </c>
    </row>
    <row r="30" ht="15.75" customHeight="1">
      <c r="A30" s="13">
        <v>46188.0</v>
      </c>
      <c r="B30" s="6" t="s">
        <v>8</v>
      </c>
      <c r="F30" s="7">
        <v>3.55</v>
      </c>
      <c r="G30" s="7">
        <v>3.33</v>
      </c>
      <c r="H30" s="7">
        <v>0.0</v>
      </c>
      <c r="I30" s="7">
        <v>1.7</v>
      </c>
      <c r="J30" s="7">
        <v>2.58</v>
      </c>
      <c r="K30" s="7">
        <v>2.9</v>
      </c>
      <c r="L30" s="7">
        <v>4.16</v>
      </c>
      <c r="M30" s="7">
        <v>3.0</v>
      </c>
      <c r="N30" s="7">
        <v>4.0</v>
      </c>
      <c r="O30" s="7">
        <v>1.0</v>
      </c>
      <c r="P30" s="7">
        <v>3.95</v>
      </c>
      <c r="Q30" s="8">
        <f t="shared" si="1"/>
        <v>30.17</v>
      </c>
      <c r="R30" s="8">
        <f>Q30+Q31</f>
        <v>52.08</v>
      </c>
    </row>
    <row r="31" ht="15.75" customHeight="1">
      <c r="A31" s="9"/>
      <c r="B31" s="6" t="s">
        <v>9</v>
      </c>
      <c r="F31" s="7">
        <v>2.88</v>
      </c>
      <c r="G31" s="7">
        <v>2.93</v>
      </c>
      <c r="H31" s="7">
        <v>0.0</v>
      </c>
      <c r="I31" s="7">
        <v>0.0</v>
      </c>
      <c r="J31" s="7">
        <v>1.99</v>
      </c>
      <c r="K31" s="7">
        <v>2.19</v>
      </c>
      <c r="L31" s="7">
        <v>3.28</v>
      </c>
      <c r="M31" s="7">
        <v>2.35</v>
      </c>
      <c r="N31" s="7">
        <v>2.59</v>
      </c>
      <c r="O31" s="7">
        <v>0.5</v>
      </c>
      <c r="P31" s="7">
        <v>3.2</v>
      </c>
      <c r="Q31" s="8">
        <f t="shared" si="1"/>
        <v>21.91</v>
      </c>
    </row>
    <row r="32" ht="15.75" customHeight="1">
      <c r="A32" s="13">
        <v>46189.0</v>
      </c>
      <c r="B32" s="6" t="s">
        <v>8</v>
      </c>
      <c r="Q32" s="8">
        <f t="shared" si="1"/>
        <v>0</v>
      </c>
      <c r="R32" s="8">
        <f>Q32+Q33</f>
        <v>0</v>
      </c>
    </row>
    <row r="33" ht="15.75" customHeight="1">
      <c r="A33" s="9"/>
      <c r="B33" s="6" t="s">
        <v>9</v>
      </c>
      <c r="Q33" s="8">
        <f t="shared" si="1"/>
        <v>0</v>
      </c>
    </row>
    <row r="34" ht="15.75" customHeight="1">
      <c r="A34" s="13">
        <v>46190.0</v>
      </c>
      <c r="B34" s="6" t="s">
        <v>8</v>
      </c>
      <c r="Q34" s="8">
        <f t="shared" si="1"/>
        <v>0</v>
      </c>
      <c r="R34" s="8">
        <f>Q34+Q35</f>
        <v>0</v>
      </c>
    </row>
    <row r="35" ht="15.75" customHeight="1">
      <c r="A35" s="9"/>
      <c r="B35" s="6" t="s">
        <v>9</v>
      </c>
      <c r="Q35" s="8">
        <f t="shared" si="1"/>
        <v>0</v>
      </c>
    </row>
    <row r="36" ht="15.75" customHeight="1">
      <c r="A36" s="13">
        <v>46191.0</v>
      </c>
      <c r="B36" s="6" t="s">
        <v>8</v>
      </c>
      <c r="Q36" s="8">
        <f t="shared" si="1"/>
        <v>0</v>
      </c>
      <c r="R36" s="8">
        <f>Q36+Q37</f>
        <v>0</v>
      </c>
    </row>
    <row r="37" ht="12.0" customHeight="1">
      <c r="A37" s="9"/>
      <c r="B37" s="6" t="s">
        <v>9</v>
      </c>
      <c r="Q37" s="8">
        <f t="shared" si="1"/>
        <v>0</v>
      </c>
    </row>
    <row r="38" ht="15.75" customHeight="1">
      <c r="A38" s="13">
        <v>46192.0</v>
      </c>
      <c r="B38" s="6" t="s">
        <v>8</v>
      </c>
      <c r="Q38" s="8">
        <f t="shared" si="1"/>
        <v>0</v>
      </c>
      <c r="R38" s="8">
        <f>Q38+Q39</f>
        <v>0</v>
      </c>
    </row>
    <row r="39" ht="15.75" customHeight="1">
      <c r="A39" s="9"/>
      <c r="B39" s="6" t="s">
        <v>9</v>
      </c>
      <c r="Q39" s="8">
        <f t="shared" si="1"/>
        <v>0</v>
      </c>
    </row>
    <row r="40" ht="15.75" customHeight="1">
      <c r="A40" s="13">
        <v>46193.0</v>
      </c>
      <c r="B40" s="6" t="s">
        <v>8</v>
      </c>
      <c r="Q40" s="8">
        <f t="shared" si="1"/>
        <v>0</v>
      </c>
      <c r="R40" s="8">
        <f>Q40+Q41</f>
        <v>0</v>
      </c>
    </row>
    <row r="41" ht="15.75" customHeight="1">
      <c r="A41" s="9"/>
      <c r="B41" s="6" t="s">
        <v>9</v>
      </c>
      <c r="Q41" s="8">
        <f t="shared" si="1"/>
        <v>0</v>
      </c>
    </row>
    <row r="42" ht="15.75" customHeight="1">
      <c r="A42" s="13">
        <v>46194.0</v>
      </c>
      <c r="B42" s="6" t="s">
        <v>8</v>
      </c>
      <c r="Q42" s="8">
        <f t="shared" si="1"/>
        <v>0</v>
      </c>
      <c r="R42" s="8">
        <f>Q42+Q43</f>
        <v>0</v>
      </c>
    </row>
    <row r="43" ht="15.75" customHeight="1">
      <c r="A43" s="9"/>
      <c r="B43" s="6" t="s">
        <v>9</v>
      </c>
      <c r="Q43" s="8">
        <f t="shared" si="1"/>
        <v>0</v>
      </c>
    </row>
    <row r="44" ht="15.75" customHeight="1">
      <c r="A44" s="13">
        <v>46195.0</v>
      </c>
      <c r="B44" s="6" t="s">
        <v>8</v>
      </c>
      <c r="Q44" s="8">
        <f t="shared" si="1"/>
        <v>0</v>
      </c>
      <c r="R44" s="8">
        <f>Q44+Q45</f>
        <v>0</v>
      </c>
    </row>
    <row r="45" ht="15.75" customHeight="1">
      <c r="A45" s="9"/>
      <c r="B45" s="6" t="s">
        <v>9</v>
      </c>
      <c r="Q45" s="8">
        <f t="shared" si="1"/>
        <v>0</v>
      </c>
    </row>
    <row r="46" ht="15.75" customHeight="1">
      <c r="A46" s="13">
        <v>46195.0</v>
      </c>
      <c r="B46" s="6" t="s">
        <v>8</v>
      </c>
      <c r="Q46" s="8">
        <f t="shared" si="1"/>
        <v>0</v>
      </c>
      <c r="R46" s="8">
        <f>Q46+Q47</f>
        <v>0</v>
      </c>
    </row>
    <row r="47" ht="15.75" customHeight="1">
      <c r="A47" s="9"/>
      <c r="B47" s="6" t="s">
        <v>9</v>
      </c>
      <c r="Q47" s="8">
        <f t="shared" si="1"/>
        <v>0</v>
      </c>
    </row>
    <row r="48" ht="15.75" customHeight="1">
      <c r="A48" s="13">
        <v>46197.0</v>
      </c>
      <c r="B48" s="6" t="s">
        <v>8</v>
      </c>
      <c r="Q48" s="8">
        <f t="shared" si="1"/>
        <v>0</v>
      </c>
      <c r="R48" s="8">
        <f>Q48+Q49</f>
        <v>0</v>
      </c>
    </row>
    <row r="49" ht="15.75" customHeight="1">
      <c r="A49" s="9"/>
      <c r="B49" s="6" t="s">
        <v>9</v>
      </c>
      <c r="Q49" s="8">
        <f t="shared" si="1"/>
        <v>0</v>
      </c>
    </row>
    <row r="50" ht="15.75" customHeight="1">
      <c r="A50" s="13">
        <v>46198.0</v>
      </c>
      <c r="B50" s="15" t="s">
        <v>8</v>
      </c>
      <c r="Q50" s="8">
        <f t="shared" si="1"/>
        <v>0</v>
      </c>
      <c r="R50" s="8">
        <f>Q50+Q51</f>
        <v>0</v>
      </c>
    </row>
    <row r="51" ht="15.75" customHeight="1">
      <c r="A51" s="9"/>
      <c r="B51" s="6" t="s">
        <v>9</v>
      </c>
      <c r="Q51" s="8">
        <f t="shared" si="1"/>
        <v>0</v>
      </c>
    </row>
    <row r="52" ht="15.75" customHeight="1">
      <c r="A52" s="13">
        <v>46199.0</v>
      </c>
      <c r="B52" s="6" t="s">
        <v>8</v>
      </c>
      <c r="Q52" s="8">
        <f t="shared" si="1"/>
        <v>0</v>
      </c>
      <c r="R52" s="8">
        <f>Q52+Q53</f>
        <v>0</v>
      </c>
    </row>
    <row r="53" ht="15.75" customHeight="1">
      <c r="A53" s="9"/>
      <c r="B53" s="6" t="s">
        <v>9</v>
      </c>
      <c r="Q53" s="8">
        <f t="shared" si="1"/>
        <v>0</v>
      </c>
    </row>
    <row r="54" ht="15.75" customHeight="1">
      <c r="A54" s="13">
        <v>46200.0</v>
      </c>
      <c r="B54" s="6" t="s">
        <v>8</v>
      </c>
      <c r="Q54" s="8">
        <f t="shared" si="1"/>
        <v>0</v>
      </c>
      <c r="R54" s="8">
        <f>Q54+Q55</f>
        <v>0</v>
      </c>
    </row>
    <row r="55" ht="15.75" customHeight="1">
      <c r="A55" s="9"/>
      <c r="B55" s="6" t="s">
        <v>9</v>
      </c>
      <c r="Q55" s="8">
        <f t="shared" si="1"/>
        <v>0</v>
      </c>
    </row>
    <row r="56" ht="15.75" customHeight="1">
      <c r="A56" s="13">
        <v>46201.0</v>
      </c>
      <c r="B56" s="6" t="s">
        <v>8</v>
      </c>
      <c r="Q56" s="8">
        <f t="shared" si="1"/>
        <v>0</v>
      </c>
      <c r="R56" s="8">
        <f>Q56+Q57</f>
        <v>0</v>
      </c>
    </row>
    <row r="57" ht="15.75" customHeight="1">
      <c r="A57" s="9"/>
      <c r="B57" s="6" t="s">
        <v>9</v>
      </c>
      <c r="Q57" s="8">
        <f t="shared" si="1"/>
        <v>0</v>
      </c>
    </row>
    <row r="58" ht="15.75" customHeight="1">
      <c r="A58" s="13">
        <v>46202.0</v>
      </c>
      <c r="B58" s="6" t="s">
        <v>8</v>
      </c>
      <c r="Q58" s="8">
        <f t="shared" si="1"/>
        <v>0</v>
      </c>
      <c r="R58" s="8">
        <f>Q58+Q59</f>
        <v>0</v>
      </c>
    </row>
    <row r="59" ht="15.75" customHeight="1">
      <c r="A59" s="9"/>
      <c r="B59" s="6" t="s">
        <v>9</v>
      </c>
      <c r="Q59" s="8">
        <f t="shared" si="1"/>
        <v>0</v>
      </c>
    </row>
    <row r="60" ht="15.75" customHeight="1">
      <c r="A60" s="13">
        <v>46203.0</v>
      </c>
      <c r="B60" s="6" t="s">
        <v>8</v>
      </c>
      <c r="Q60" s="8">
        <f t="shared" si="1"/>
        <v>0</v>
      </c>
      <c r="R60" s="8">
        <f>Q60+Q61</f>
        <v>0</v>
      </c>
    </row>
    <row r="61" ht="15.75" customHeight="1">
      <c r="A61" s="9"/>
      <c r="B61" s="6" t="s">
        <v>9</v>
      </c>
      <c r="Q61" s="8">
        <f t="shared" si="1"/>
        <v>0</v>
      </c>
    </row>
    <row r="62" ht="15.75" customHeight="1">
      <c r="A62" s="16" t="s">
        <v>32</v>
      </c>
      <c r="B62" s="6" t="s">
        <v>8</v>
      </c>
      <c r="Q62" s="8">
        <f t="shared" si="1"/>
        <v>0</v>
      </c>
      <c r="R62" s="8">
        <f>Q62+Q63</f>
        <v>0</v>
      </c>
    </row>
    <row r="63" ht="15.75" customHeight="1">
      <c r="A63" s="9"/>
      <c r="B63" s="6" t="s">
        <v>9</v>
      </c>
      <c r="Q63" s="8">
        <f t="shared" si="1"/>
        <v>0</v>
      </c>
    </row>
    <row r="64" ht="15.75" customHeight="1">
      <c r="A64" s="14"/>
      <c r="Q64" s="8">
        <f t="shared" si="1"/>
        <v>0</v>
      </c>
    </row>
    <row r="65" ht="15.75" customHeight="1">
      <c r="Q65" s="8">
        <f t="shared" si="1"/>
        <v>0</v>
      </c>
    </row>
    <row r="66" ht="15.75" customHeight="1">
      <c r="A66" s="14"/>
      <c r="Q66" s="8">
        <f t="shared" si="1"/>
        <v>0</v>
      </c>
    </row>
    <row r="67" ht="15.75" customHeight="1">
      <c r="Q67" s="8">
        <f t="shared" si="1"/>
        <v>0</v>
      </c>
    </row>
    <row r="68" ht="15.75" customHeight="1"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8">
        <f t="shared" si="1"/>
        <v>0</v>
      </c>
      <c r="R68" s="17"/>
      <c r="S68" s="17"/>
      <c r="T68" s="17"/>
      <c r="U68" s="17"/>
      <c r="V68" s="17"/>
    </row>
    <row r="69" ht="15.75" customHeight="1">
      <c r="Q69" s="8">
        <f t="shared" si="1"/>
        <v>0</v>
      </c>
    </row>
    <row r="70" ht="15.75" customHeight="1">
      <c r="A70" s="10"/>
      <c r="Q70" s="8">
        <f t="shared" ref="Q70:Q110" si="2">sum(C70:N70)</f>
        <v>0</v>
      </c>
    </row>
    <row r="71" ht="15.75" customHeight="1">
      <c r="Q71" s="8">
        <f t="shared" si="2"/>
        <v>0</v>
      </c>
    </row>
    <row r="72" ht="15.75" customHeight="1">
      <c r="A72" s="10"/>
      <c r="Q72" s="8">
        <f t="shared" si="2"/>
        <v>0</v>
      </c>
    </row>
    <row r="73" ht="15.75" customHeight="1">
      <c r="Q73" s="8">
        <f t="shared" si="2"/>
        <v>0</v>
      </c>
    </row>
    <row r="74" ht="15.75" customHeight="1">
      <c r="A74" s="10"/>
      <c r="Q74" s="8">
        <f t="shared" si="2"/>
        <v>0</v>
      </c>
    </row>
    <row r="75" ht="15.75" customHeight="1">
      <c r="Q75" s="8">
        <f t="shared" si="2"/>
        <v>0</v>
      </c>
    </row>
    <row r="76" ht="15.75" customHeight="1">
      <c r="A76" s="10"/>
      <c r="Q76" s="8">
        <f t="shared" si="2"/>
        <v>0</v>
      </c>
    </row>
    <row r="77" ht="15.75" customHeight="1">
      <c r="Q77" s="8">
        <f t="shared" si="2"/>
        <v>0</v>
      </c>
    </row>
    <row r="78" ht="15.75" customHeight="1">
      <c r="A78" s="10"/>
      <c r="Q78" s="8">
        <f t="shared" si="2"/>
        <v>0</v>
      </c>
    </row>
    <row r="79" ht="15.75" customHeight="1">
      <c r="A79" s="10"/>
      <c r="Q79" s="8">
        <f t="shared" si="2"/>
        <v>0</v>
      </c>
    </row>
    <row r="80" ht="15.75" customHeight="1">
      <c r="A80" s="10"/>
      <c r="Q80" s="8">
        <f t="shared" si="2"/>
        <v>0</v>
      </c>
    </row>
    <row r="81" ht="15.75" customHeight="1">
      <c r="A81" s="10"/>
      <c r="Q81" s="8">
        <f t="shared" si="2"/>
        <v>0</v>
      </c>
    </row>
    <row r="82" ht="15.75" customHeight="1">
      <c r="A82" s="10"/>
      <c r="Q82" s="8">
        <f t="shared" si="2"/>
        <v>0</v>
      </c>
    </row>
    <row r="83" ht="15.75" customHeight="1">
      <c r="A83" s="10"/>
      <c r="Q83" s="8">
        <f t="shared" si="2"/>
        <v>0</v>
      </c>
    </row>
    <row r="84" ht="15.75" customHeight="1">
      <c r="A84" s="10"/>
      <c r="Q84" s="8">
        <f t="shared" si="2"/>
        <v>0</v>
      </c>
    </row>
    <row r="85" ht="15.75" customHeight="1">
      <c r="A85" s="10"/>
      <c r="Q85" s="8">
        <f t="shared" si="2"/>
        <v>0</v>
      </c>
    </row>
    <row r="86" ht="15.75" customHeight="1">
      <c r="A86" s="10"/>
      <c r="Q86" s="8">
        <f t="shared" si="2"/>
        <v>0</v>
      </c>
    </row>
    <row r="87" ht="15.75" customHeight="1">
      <c r="A87" s="10"/>
      <c r="Q87" s="8">
        <f t="shared" si="2"/>
        <v>0</v>
      </c>
    </row>
    <row r="88" ht="15.75" customHeight="1">
      <c r="A88" s="10"/>
      <c r="Q88" s="8">
        <f t="shared" si="2"/>
        <v>0</v>
      </c>
    </row>
    <row r="89" ht="15.75" customHeight="1">
      <c r="A89" s="10"/>
      <c r="Q89" s="8">
        <f t="shared" si="2"/>
        <v>0</v>
      </c>
    </row>
    <row r="90" ht="15.75" customHeight="1">
      <c r="A90" s="10"/>
      <c r="Q90" s="8">
        <f t="shared" si="2"/>
        <v>0</v>
      </c>
    </row>
    <row r="91" ht="15.75" customHeight="1">
      <c r="A91" s="10"/>
      <c r="Q91" s="8">
        <f t="shared" si="2"/>
        <v>0</v>
      </c>
    </row>
    <row r="92" ht="15.75" customHeight="1">
      <c r="A92" s="10"/>
      <c r="Q92" s="8">
        <f t="shared" si="2"/>
        <v>0</v>
      </c>
    </row>
    <row r="93" ht="15.75" customHeight="1">
      <c r="A93" s="10"/>
      <c r="Q93" s="8">
        <f t="shared" si="2"/>
        <v>0</v>
      </c>
    </row>
    <row r="94" ht="15.75" customHeight="1">
      <c r="A94" s="10"/>
      <c r="Q94" s="8">
        <f t="shared" si="2"/>
        <v>0</v>
      </c>
    </row>
    <row r="95" ht="15.75" customHeight="1">
      <c r="A95" s="10"/>
      <c r="Q95" s="8">
        <f t="shared" si="2"/>
        <v>0</v>
      </c>
    </row>
    <row r="96" ht="15.75" customHeight="1">
      <c r="A96" s="10"/>
      <c r="Q96" s="8">
        <f t="shared" si="2"/>
        <v>0</v>
      </c>
    </row>
    <row r="97" ht="15.75" customHeight="1">
      <c r="A97" s="10"/>
      <c r="Q97" s="8">
        <f t="shared" si="2"/>
        <v>0</v>
      </c>
    </row>
    <row r="98" ht="15.75" customHeight="1">
      <c r="A98" s="10"/>
      <c r="Q98" s="8">
        <f t="shared" si="2"/>
        <v>0</v>
      </c>
    </row>
    <row r="99" ht="15.75" customHeight="1">
      <c r="A99" s="10"/>
      <c r="Q99" s="8">
        <f t="shared" si="2"/>
        <v>0</v>
      </c>
    </row>
    <row r="100" ht="15.75" customHeight="1">
      <c r="A100" s="10"/>
      <c r="Q100" s="8">
        <f t="shared" si="2"/>
        <v>0</v>
      </c>
    </row>
    <row r="101" ht="15.75" customHeight="1">
      <c r="A101" s="10"/>
      <c r="Q101" s="8">
        <f t="shared" si="2"/>
        <v>0</v>
      </c>
    </row>
    <row r="102" ht="15.75" customHeight="1">
      <c r="A102" s="10"/>
      <c r="Q102" s="8">
        <f t="shared" si="2"/>
        <v>0</v>
      </c>
    </row>
    <row r="103" ht="15.75" customHeight="1">
      <c r="A103" s="10"/>
      <c r="K103" s="7" t="s">
        <v>33</v>
      </c>
      <c r="Q103" s="8">
        <f t="shared" si="2"/>
        <v>0</v>
      </c>
    </row>
    <row r="104" ht="15.75" customHeight="1">
      <c r="A104" s="10"/>
      <c r="Q104" s="8">
        <f t="shared" si="2"/>
        <v>0</v>
      </c>
    </row>
    <row r="105" ht="15.75" customHeight="1">
      <c r="A105" s="10"/>
      <c r="Q105" s="8">
        <f t="shared" si="2"/>
        <v>0</v>
      </c>
    </row>
    <row r="106" ht="15.75" customHeight="1">
      <c r="A106" s="10"/>
      <c r="Q106" s="8">
        <f t="shared" si="2"/>
        <v>0</v>
      </c>
    </row>
    <row r="107" ht="15.75" customHeight="1">
      <c r="A107" s="10"/>
      <c r="Q107" s="8">
        <f t="shared" si="2"/>
        <v>0</v>
      </c>
    </row>
    <row r="108" ht="15.75" customHeight="1">
      <c r="A108" s="10"/>
      <c r="Q108" s="8">
        <f t="shared" si="2"/>
        <v>0</v>
      </c>
    </row>
    <row r="109" ht="15.75" customHeight="1">
      <c r="A109" s="10"/>
      <c r="Q109" s="8">
        <f t="shared" si="2"/>
        <v>0</v>
      </c>
    </row>
    <row r="110" ht="15.75" customHeight="1">
      <c r="A110" s="10"/>
      <c r="Q110" s="8">
        <f t="shared" si="2"/>
        <v>0</v>
      </c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72:A73"/>
    <mergeCell ref="A74:A75"/>
    <mergeCell ref="A76:A77"/>
    <mergeCell ref="A58:A59"/>
    <mergeCell ref="A60:A61"/>
    <mergeCell ref="A62:A63"/>
    <mergeCell ref="A64:A65"/>
    <mergeCell ref="A66:A67"/>
    <mergeCell ref="A68:A69"/>
    <mergeCell ref="A70:A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336.7</v>
      </c>
    </row>
    <row r="4">
      <c r="A4" s="7" t="s">
        <v>2</v>
      </c>
      <c r="B4" s="8">
        <f>SUM(June!C2:C61)</f>
        <v>141.7</v>
      </c>
    </row>
    <row r="5">
      <c r="A5" s="7" t="s">
        <v>3</v>
      </c>
      <c r="B5" s="8">
        <f>SUM(June!D2:D61)</f>
        <v>116.3</v>
      </c>
    </row>
    <row r="6">
      <c r="A6" s="7" t="s">
        <v>4</v>
      </c>
      <c r="B6" s="8">
        <f>SUM(June!E2:E61)</f>
        <v>78.7</v>
      </c>
    </row>
    <row r="7">
      <c r="A7" s="7" t="s">
        <v>5</v>
      </c>
      <c r="B7" s="8">
        <f>sum(June!F2:F61)</f>
        <v>0</v>
      </c>
    </row>
    <row r="8">
      <c r="A8" s="7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8" width="14.86"/>
    <col customWidth="1" min="9" max="9" width="17.71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 t="s">
        <v>6</v>
      </c>
      <c r="I1" s="3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45839.0</v>
      </c>
      <c r="B2" s="6" t="s">
        <v>8</v>
      </c>
      <c r="C2" s="7">
        <v>4.0</v>
      </c>
      <c r="D2" s="7">
        <v>0.0</v>
      </c>
      <c r="E2" s="7">
        <v>0.5</v>
      </c>
      <c r="H2" s="8">
        <f t="shared" ref="H2:H63" si="1">SUM(C2:F2)</f>
        <v>4.5</v>
      </c>
      <c r="I2" s="8">
        <f>H2+H3</f>
        <v>7.7</v>
      </c>
    </row>
    <row r="3">
      <c r="A3" s="9"/>
      <c r="B3" s="6" t="s">
        <v>9</v>
      </c>
      <c r="C3" s="7">
        <v>2.5</v>
      </c>
      <c r="E3" s="7">
        <v>0.7</v>
      </c>
      <c r="H3" s="8">
        <f t="shared" si="1"/>
        <v>3.2</v>
      </c>
    </row>
    <row r="4">
      <c r="A4" s="13">
        <v>45840.0</v>
      </c>
      <c r="B4" s="6" t="s">
        <v>8</v>
      </c>
      <c r="C4" s="7">
        <v>3.5</v>
      </c>
      <c r="D4" s="7">
        <v>0.0</v>
      </c>
      <c r="E4" s="7">
        <v>0.5</v>
      </c>
      <c r="H4" s="8">
        <f t="shared" si="1"/>
        <v>4</v>
      </c>
      <c r="I4" s="8">
        <f>H4+H5</f>
        <v>6.5</v>
      </c>
    </row>
    <row r="5">
      <c r="A5" s="9"/>
      <c r="B5" s="6" t="s">
        <v>9</v>
      </c>
      <c r="C5" s="7">
        <v>2.5</v>
      </c>
      <c r="D5" s="7">
        <v>0.0</v>
      </c>
      <c r="E5" s="7">
        <v>0.0</v>
      </c>
      <c r="H5" s="8">
        <f t="shared" si="1"/>
        <v>2.5</v>
      </c>
    </row>
    <row r="6">
      <c r="A6" s="13">
        <v>45841.0</v>
      </c>
      <c r="B6" s="6" t="s">
        <v>8</v>
      </c>
      <c r="C6" s="7">
        <v>3.5</v>
      </c>
      <c r="D6" s="7">
        <v>0.0</v>
      </c>
      <c r="E6" s="7">
        <v>0.5</v>
      </c>
      <c r="H6" s="8">
        <f t="shared" si="1"/>
        <v>4</v>
      </c>
      <c r="I6" s="8">
        <f>H6+H7</f>
        <v>6.5</v>
      </c>
    </row>
    <row r="7">
      <c r="A7" s="9"/>
      <c r="B7" s="6" t="s">
        <v>9</v>
      </c>
      <c r="C7" s="7">
        <v>2.5</v>
      </c>
      <c r="D7" s="7">
        <v>0.0</v>
      </c>
      <c r="E7" s="7">
        <v>0.0</v>
      </c>
      <c r="H7" s="8">
        <f t="shared" si="1"/>
        <v>2.5</v>
      </c>
    </row>
    <row r="8">
      <c r="A8" s="13">
        <v>45842.0</v>
      </c>
      <c r="B8" s="6" t="s">
        <v>8</v>
      </c>
      <c r="C8" s="7">
        <v>4.5</v>
      </c>
      <c r="D8" s="7">
        <v>0.0</v>
      </c>
      <c r="E8" s="7">
        <v>0.0</v>
      </c>
      <c r="H8" s="8">
        <f t="shared" si="1"/>
        <v>4.5</v>
      </c>
      <c r="I8" s="8">
        <f>H8+H9</f>
        <v>8</v>
      </c>
    </row>
    <row r="9">
      <c r="A9" s="9"/>
      <c r="B9" s="6" t="s">
        <v>9</v>
      </c>
      <c r="C9" s="7">
        <v>3.0</v>
      </c>
      <c r="D9" s="7">
        <v>0.0</v>
      </c>
      <c r="E9" s="7">
        <v>0.5</v>
      </c>
      <c r="H9" s="8">
        <f t="shared" si="1"/>
        <v>3.5</v>
      </c>
    </row>
    <row r="10">
      <c r="A10" s="13">
        <v>45843.0</v>
      </c>
      <c r="B10" s="6" t="s">
        <v>8</v>
      </c>
      <c r="C10" s="7">
        <v>4.0</v>
      </c>
      <c r="D10" s="7">
        <v>0.0</v>
      </c>
      <c r="E10" s="7">
        <v>1.0</v>
      </c>
      <c r="H10" s="8">
        <f t="shared" si="1"/>
        <v>5</v>
      </c>
      <c r="I10" s="8">
        <f>H10+H11</f>
        <v>8.5</v>
      </c>
    </row>
    <row r="11">
      <c r="A11" s="9"/>
      <c r="B11" s="6" t="s">
        <v>9</v>
      </c>
      <c r="C11" s="7">
        <v>2.5</v>
      </c>
      <c r="D11" s="7">
        <v>0.0</v>
      </c>
      <c r="E11" s="7">
        <v>1.0</v>
      </c>
      <c r="H11" s="8">
        <f t="shared" si="1"/>
        <v>3.5</v>
      </c>
    </row>
    <row r="12">
      <c r="A12" s="13">
        <v>45844.0</v>
      </c>
      <c r="B12" s="6" t="s">
        <v>8</v>
      </c>
      <c r="C12" s="7">
        <v>4.0</v>
      </c>
      <c r="D12" s="7">
        <v>0.0</v>
      </c>
      <c r="E12" s="7">
        <v>1.0</v>
      </c>
      <c r="H12" s="8">
        <f t="shared" si="1"/>
        <v>5</v>
      </c>
      <c r="I12" s="8">
        <f>H12+H13</f>
        <v>9.3</v>
      </c>
    </row>
    <row r="13">
      <c r="A13" s="9"/>
      <c r="B13" s="6" t="s">
        <v>9</v>
      </c>
      <c r="C13" s="7">
        <v>3.1</v>
      </c>
      <c r="D13" s="7">
        <v>0.0</v>
      </c>
      <c r="E13" s="7">
        <v>1.2</v>
      </c>
      <c r="H13" s="8">
        <f t="shared" si="1"/>
        <v>4.3</v>
      </c>
    </row>
    <row r="14">
      <c r="A14" s="13">
        <v>45845.0</v>
      </c>
      <c r="B14" s="6" t="s">
        <v>8</v>
      </c>
      <c r="C14" s="7">
        <v>4.0</v>
      </c>
      <c r="D14" s="7">
        <v>0.5</v>
      </c>
      <c r="E14" s="7">
        <v>0.5</v>
      </c>
      <c r="H14" s="8">
        <f t="shared" si="1"/>
        <v>5</v>
      </c>
      <c r="I14" s="8">
        <f>H14+H15</f>
        <v>9</v>
      </c>
    </row>
    <row r="15">
      <c r="A15" s="9"/>
      <c r="B15" s="6" t="s">
        <v>9</v>
      </c>
      <c r="C15" s="7">
        <v>3.0</v>
      </c>
      <c r="D15" s="7">
        <v>0.0</v>
      </c>
      <c r="E15" s="7">
        <v>1.0</v>
      </c>
      <c r="H15" s="8">
        <f t="shared" si="1"/>
        <v>4</v>
      </c>
    </row>
    <row r="16">
      <c r="A16" s="13">
        <v>45846.0</v>
      </c>
      <c r="B16" s="6" t="s">
        <v>8</v>
      </c>
      <c r="C16" s="7">
        <v>4.5</v>
      </c>
      <c r="D16" s="7">
        <v>0.5</v>
      </c>
      <c r="E16" s="7">
        <v>0.5</v>
      </c>
      <c r="H16" s="8">
        <f t="shared" si="1"/>
        <v>5.5</v>
      </c>
      <c r="I16" s="8">
        <f>H16+H17</f>
        <v>9</v>
      </c>
    </row>
    <row r="17">
      <c r="A17" s="9"/>
      <c r="B17" s="6" t="s">
        <v>9</v>
      </c>
      <c r="C17" s="7">
        <v>3.0</v>
      </c>
      <c r="D17" s="7">
        <v>0.5</v>
      </c>
      <c r="E17" s="7">
        <v>0.0</v>
      </c>
      <c r="H17" s="8">
        <f t="shared" si="1"/>
        <v>3.5</v>
      </c>
    </row>
    <row r="18">
      <c r="A18" s="13">
        <v>45847.0</v>
      </c>
      <c r="B18" s="6" t="s">
        <v>8</v>
      </c>
      <c r="C18" s="7">
        <v>5.0</v>
      </c>
      <c r="D18" s="7">
        <v>1.9</v>
      </c>
      <c r="E18" s="7">
        <v>1.5</v>
      </c>
      <c r="H18" s="8">
        <f t="shared" si="1"/>
        <v>8.4</v>
      </c>
      <c r="I18" s="8">
        <f>H18+H19</f>
        <v>13.4</v>
      </c>
    </row>
    <row r="19">
      <c r="A19" s="9"/>
      <c r="B19" s="6" t="s">
        <v>9</v>
      </c>
      <c r="C19" s="7">
        <v>3.0</v>
      </c>
      <c r="D19" s="7">
        <v>1.5</v>
      </c>
      <c r="E19" s="7">
        <v>0.5</v>
      </c>
      <c r="H19" s="8">
        <f t="shared" si="1"/>
        <v>5</v>
      </c>
    </row>
    <row r="20">
      <c r="A20" s="13">
        <v>45848.0</v>
      </c>
      <c r="B20" s="6" t="s">
        <v>8</v>
      </c>
      <c r="C20" s="7">
        <v>4.7</v>
      </c>
      <c r="D20" s="7">
        <v>2.0</v>
      </c>
      <c r="E20" s="7">
        <v>1.5</v>
      </c>
      <c r="H20" s="8">
        <f t="shared" si="1"/>
        <v>8.2</v>
      </c>
      <c r="I20" s="8">
        <f>H20+H21</f>
        <v>15.1</v>
      </c>
    </row>
    <row r="21" ht="15.75" customHeight="1">
      <c r="A21" s="9"/>
      <c r="B21" s="6" t="s">
        <v>9</v>
      </c>
      <c r="C21" s="7">
        <v>3.5</v>
      </c>
      <c r="D21" s="7">
        <v>1.4</v>
      </c>
      <c r="E21" s="7">
        <v>2.0</v>
      </c>
      <c r="F21" s="7"/>
      <c r="H21" s="8">
        <f t="shared" si="1"/>
        <v>6.9</v>
      </c>
    </row>
    <row r="22" ht="15.75" customHeight="1">
      <c r="A22" s="13">
        <v>45849.0</v>
      </c>
      <c r="B22" s="6" t="s">
        <v>8</v>
      </c>
      <c r="C22" s="7">
        <v>5.0</v>
      </c>
      <c r="D22" s="7">
        <v>1.2</v>
      </c>
      <c r="E22" s="7">
        <v>2.0</v>
      </c>
      <c r="F22" s="7">
        <v>4.0</v>
      </c>
      <c r="H22" s="8">
        <f t="shared" si="1"/>
        <v>12.2</v>
      </c>
      <c r="I22" s="8">
        <f>H22+H23</f>
        <v>20.4</v>
      </c>
    </row>
    <row r="23" ht="15.75" customHeight="1">
      <c r="A23" s="9"/>
      <c r="B23" s="6" t="s">
        <v>9</v>
      </c>
      <c r="C23" s="7">
        <v>2.2</v>
      </c>
      <c r="D23" s="7">
        <v>1.5</v>
      </c>
      <c r="E23" s="7">
        <v>1.0</v>
      </c>
      <c r="F23" s="7">
        <v>3.5</v>
      </c>
      <c r="H23" s="8">
        <f t="shared" si="1"/>
        <v>8.2</v>
      </c>
    </row>
    <row r="24" ht="15.75" customHeight="1">
      <c r="A24" s="13">
        <v>45850.0</v>
      </c>
      <c r="B24" s="6" t="s">
        <v>8</v>
      </c>
      <c r="C24" s="7">
        <v>5.0</v>
      </c>
      <c r="D24" s="7">
        <v>2.0</v>
      </c>
      <c r="E24" s="7">
        <v>2.0</v>
      </c>
      <c r="F24" s="7">
        <v>3.5</v>
      </c>
      <c r="H24" s="8">
        <f t="shared" si="1"/>
        <v>12.5</v>
      </c>
      <c r="I24" s="8">
        <f>H24+H25</f>
        <v>20.7</v>
      </c>
    </row>
    <row r="25" ht="15.75" customHeight="1">
      <c r="A25" s="9"/>
      <c r="B25" s="6" t="s">
        <v>9</v>
      </c>
      <c r="C25" s="7">
        <v>3.0</v>
      </c>
      <c r="D25" s="7">
        <v>1.7</v>
      </c>
      <c r="F25" s="7">
        <v>3.5</v>
      </c>
      <c r="H25" s="8">
        <f t="shared" si="1"/>
        <v>8.2</v>
      </c>
    </row>
    <row r="26" ht="15.75" customHeight="1">
      <c r="A26" s="13">
        <v>45851.0</v>
      </c>
      <c r="B26" s="6" t="s">
        <v>8</v>
      </c>
      <c r="C26" s="7">
        <v>5.4</v>
      </c>
      <c r="D26" s="7">
        <v>2.8</v>
      </c>
      <c r="E26" s="7">
        <v>2.0</v>
      </c>
      <c r="F26" s="7">
        <v>3.8</v>
      </c>
      <c r="H26" s="8">
        <f t="shared" si="1"/>
        <v>14</v>
      </c>
      <c r="I26" s="8">
        <f>H26+H27</f>
        <v>23</v>
      </c>
    </row>
    <row r="27" ht="15.75" customHeight="1">
      <c r="A27" s="9"/>
      <c r="B27" s="6" t="s">
        <v>9</v>
      </c>
      <c r="C27" s="7">
        <v>3.0</v>
      </c>
      <c r="D27" s="7">
        <v>1.5</v>
      </c>
      <c r="E27" s="7">
        <v>1.0</v>
      </c>
      <c r="F27" s="7">
        <v>3.5</v>
      </c>
      <c r="H27" s="8">
        <f t="shared" si="1"/>
        <v>9</v>
      </c>
    </row>
    <row r="28" ht="15.75" customHeight="1">
      <c r="A28" s="13">
        <v>45852.0</v>
      </c>
      <c r="B28" s="6" t="s">
        <v>8</v>
      </c>
      <c r="C28" s="7">
        <v>5.0</v>
      </c>
      <c r="D28" s="7">
        <v>1.8</v>
      </c>
      <c r="E28" s="7">
        <v>1.5</v>
      </c>
      <c r="F28" s="7">
        <v>3.5</v>
      </c>
      <c r="H28" s="8">
        <f t="shared" si="1"/>
        <v>11.8</v>
      </c>
      <c r="I28" s="8">
        <f>H28+H29</f>
        <v>21.3</v>
      </c>
    </row>
    <row r="29" ht="15.75" customHeight="1">
      <c r="A29" s="9"/>
      <c r="B29" s="6" t="s">
        <v>9</v>
      </c>
      <c r="C29" s="7">
        <v>3.5</v>
      </c>
      <c r="D29" s="7">
        <v>2.0</v>
      </c>
      <c r="E29" s="7">
        <v>1.0</v>
      </c>
      <c r="F29" s="7">
        <v>3.0</v>
      </c>
      <c r="H29" s="8">
        <f t="shared" si="1"/>
        <v>9.5</v>
      </c>
    </row>
    <row r="30" ht="15.75" customHeight="1">
      <c r="A30" s="13">
        <v>45853.0</v>
      </c>
      <c r="B30" s="6" t="s">
        <v>8</v>
      </c>
      <c r="C30" s="7">
        <v>4.0</v>
      </c>
      <c r="D30" s="7">
        <v>2.5</v>
      </c>
      <c r="E30" s="7">
        <v>1.5</v>
      </c>
      <c r="F30" s="7">
        <v>3.0</v>
      </c>
      <c r="H30" s="8">
        <f t="shared" si="1"/>
        <v>11</v>
      </c>
      <c r="I30" s="8">
        <f>H30+H31</f>
        <v>21.3</v>
      </c>
    </row>
    <row r="31" ht="15.75" customHeight="1">
      <c r="A31" s="9"/>
      <c r="B31" s="6" t="s">
        <v>9</v>
      </c>
      <c r="C31" s="7">
        <v>3.8</v>
      </c>
      <c r="D31" s="7">
        <v>2.0</v>
      </c>
      <c r="E31" s="7">
        <v>1.5</v>
      </c>
      <c r="F31" s="7">
        <v>3.0</v>
      </c>
      <c r="H31" s="8">
        <f t="shared" si="1"/>
        <v>10.3</v>
      </c>
    </row>
    <row r="32" ht="15.75" customHeight="1">
      <c r="A32" s="13">
        <v>45854.0</v>
      </c>
      <c r="B32" s="6" t="s">
        <v>8</v>
      </c>
      <c r="C32" s="7">
        <v>4.6</v>
      </c>
      <c r="D32" s="7">
        <v>2.0</v>
      </c>
      <c r="E32" s="7">
        <v>1.4</v>
      </c>
      <c r="F32" s="7">
        <v>3.0</v>
      </c>
      <c r="H32" s="8">
        <f t="shared" si="1"/>
        <v>11</v>
      </c>
      <c r="I32" s="8">
        <f>H32+H33</f>
        <v>22.2</v>
      </c>
    </row>
    <row r="33" ht="15.75" customHeight="1">
      <c r="A33" s="9"/>
      <c r="B33" s="6" t="s">
        <v>9</v>
      </c>
      <c r="C33" s="7">
        <v>3.5</v>
      </c>
      <c r="D33" s="7">
        <v>2.5</v>
      </c>
      <c r="E33" s="7">
        <v>2.2</v>
      </c>
      <c r="F33" s="7">
        <v>3.0</v>
      </c>
      <c r="H33" s="8">
        <f t="shared" si="1"/>
        <v>11.2</v>
      </c>
    </row>
    <row r="34" ht="15.75" customHeight="1">
      <c r="A34" s="13">
        <v>45855.0</v>
      </c>
      <c r="B34" s="6" t="s">
        <v>8</v>
      </c>
      <c r="C34" s="7">
        <v>4.2</v>
      </c>
      <c r="D34" s="7">
        <v>2.0</v>
      </c>
      <c r="E34" s="7">
        <v>2.0</v>
      </c>
      <c r="F34" s="7">
        <v>3.5</v>
      </c>
      <c r="H34" s="8">
        <f t="shared" si="1"/>
        <v>11.7</v>
      </c>
      <c r="I34" s="8">
        <f>H34+H35</f>
        <v>20.3</v>
      </c>
    </row>
    <row r="35" ht="15.75" customHeight="1">
      <c r="A35" s="9"/>
      <c r="B35" s="6" t="s">
        <v>9</v>
      </c>
      <c r="C35" s="7">
        <v>3.1</v>
      </c>
      <c r="D35" s="7">
        <v>1.0</v>
      </c>
      <c r="E35" s="7">
        <v>1.5</v>
      </c>
      <c r="F35" s="7">
        <v>3.0</v>
      </c>
      <c r="H35" s="8">
        <f t="shared" si="1"/>
        <v>8.6</v>
      </c>
    </row>
    <row r="36" ht="15.75" customHeight="1">
      <c r="A36" s="13">
        <v>45856.0</v>
      </c>
      <c r="B36" s="6" t="s">
        <v>8</v>
      </c>
      <c r="C36" s="7">
        <v>5.0</v>
      </c>
      <c r="D36" s="7">
        <v>2.5</v>
      </c>
      <c r="E36" s="7">
        <v>2.0</v>
      </c>
      <c r="F36" s="7">
        <v>3.5</v>
      </c>
      <c r="H36" s="8">
        <f t="shared" si="1"/>
        <v>13</v>
      </c>
      <c r="I36" s="8">
        <f>H36+H37</f>
        <v>22.5</v>
      </c>
    </row>
    <row r="37" ht="15.75" customHeight="1">
      <c r="A37" s="9"/>
      <c r="B37" s="6" t="s">
        <v>9</v>
      </c>
      <c r="C37" s="7">
        <v>3.0</v>
      </c>
      <c r="D37" s="7">
        <v>2.0</v>
      </c>
      <c r="E37" s="7">
        <v>1.5</v>
      </c>
      <c r="F37" s="7">
        <v>3.0</v>
      </c>
      <c r="H37" s="8">
        <f t="shared" si="1"/>
        <v>9.5</v>
      </c>
    </row>
    <row r="38" ht="15.75" customHeight="1">
      <c r="A38" s="13">
        <v>45857.0</v>
      </c>
      <c r="B38" s="6" t="s">
        <v>8</v>
      </c>
      <c r="C38" s="7">
        <v>5.7</v>
      </c>
      <c r="D38" s="7">
        <v>2.5</v>
      </c>
      <c r="E38" s="7">
        <v>1.5</v>
      </c>
      <c r="F38" s="7">
        <v>3.0</v>
      </c>
      <c r="H38" s="8">
        <f t="shared" si="1"/>
        <v>12.7</v>
      </c>
      <c r="I38" s="8">
        <f>H38+H39</f>
        <v>23.2</v>
      </c>
    </row>
    <row r="39" ht="15.75" customHeight="1">
      <c r="A39" s="9"/>
      <c r="B39" s="6" t="s">
        <v>9</v>
      </c>
      <c r="C39" s="7">
        <v>3.0</v>
      </c>
      <c r="D39" s="7">
        <v>2.0</v>
      </c>
      <c r="E39" s="7">
        <v>1.5</v>
      </c>
      <c r="F39" s="7">
        <v>4.0</v>
      </c>
      <c r="H39" s="8">
        <f t="shared" si="1"/>
        <v>10.5</v>
      </c>
    </row>
    <row r="40" ht="15.75" customHeight="1">
      <c r="A40" s="13">
        <v>45858.0</v>
      </c>
      <c r="B40" s="6" t="s">
        <v>8</v>
      </c>
      <c r="C40" s="7">
        <v>4.9</v>
      </c>
      <c r="D40" s="7">
        <v>2.0</v>
      </c>
      <c r="E40" s="7">
        <v>2.0</v>
      </c>
      <c r="F40" s="7">
        <v>4.5</v>
      </c>
      <c r="H40" s="8">
        <f t="shared" si="1"/>
        <v>13.4</v>
      </c>
      <c r="I40" s="8">
        <f>H40+H41</f>
        <v>23.8</v>
      </c>
    </row>
    <row r="41" ht="15.75" customHeight="1">
      <c r="A41" s="9"/>
      <c r="B41" s="6" t="s">
        <v>9</v>
      </c>
      <c r="C41" s="7">
        <v>3.2</v>
      </c>
      <c r="D41" s="7">
        <v>2.0</v>
      </c>
      <c r="E41" s="7">
        <v>1.7</v>
      </c>
      <c r="F41" s="7">
        <v>3.5</v>
      </c>
      <c r="H41" s="8">
        <f t="shared" si="1"/>
        <v>10.4</v>
      </c>
    </row>
    <row r="42" ht="15.75" customHeight="1">
      <c r="A42" s="13">
        <v>45859.0</v>
      </c>
      <c r="B42" s="6" t="s">
        <v>8</v>
      </c>
      <c r="C42" s="7">
        <v>5.5</v>
      </c>
      <c r="D42" s="7">
        <v>2.0</v>
      </c>
      <c r="E42" s="7">
        <v>2.5</v>
      </c>
      <c r="F42" s="7">
        <v>4.4</v>
      </c>
      <c r="H42" s="8">
        <f t="shared" si="1"/>
        <v>14.4</v>
      </c>
      <c r="I42" s="8">
        <f>H42+H43</f>
        <v>24.7</v>
      </c>
    </row>
    <row r="43" ht="15.75" customHeight="1">
      <c r="A43" s="9"/>
      <c r="B43" s="6" t="s">
        <v>9</v>
      </c>
      <c r="C43" s="7">
        <v>3.0</v>
      </c>
      <c r="D43" s="7">
        <v>2.0</v>
      </c>
      <c r="E43" s="7">
        <v>2.0</v>
      </c>
      <c r="F43" s="7">
        <v>3.3</v>
      </c>
      <c r="H43" s="8">
        <f t="shared" si="1"/>
        <v>10.3</v>
      </c>
    </row>
    <row r="44" ht="15.75" customHeight="1">
      <c r="A44" s="13">
        <v>45860.0</v>
      </c>
      <c r="B44" s="6" t="s">
        <v>8</v>
      </c>
      <c r="C44" s="7">
        <v>4.7</v>
      </c>
      <c r="D44" s="7">
        <v>2.0</v>
      </c>
      <c r="E44" s="7">
        <v>2.5</v>
      </c>
      <c r="F44" s="7">
        <v>4.5</v>
      </c>
      <c r="H44" s="8">
        <f t="shared" si="1"/>
        <v>13.7</v>
      </c>
      <c r="I44" s="8">
        <f>H44+H45</f>
        <v>24.2</v>
      </c>
    </row>
    <row r="45" ht="15.75" customHeight="1">
      <c r="A45" s="9"/>
      <c r="B45" s="6" t="s">
        <v>9</v>
      </c>
      <c r="C45" s="7">
        <v>3.0</v>
      </c>
      <c r="D45" s="7">
        <v>2.0</v>
      </c>
      <c r="E45" s="7">
        <v>2.0</v>
      </c>
      <c r="F45" s="7">
        <v>3.5</v>
      </c>
      <c r="H45" s="8">
        <f t="shared" si="1"/>
        <v>10.5</v>
      </c>
    </row>
    <row r="46" ht="15.75" customHeight="1">
      <c r="A46" s="13">
        <v>45861.0</v>
      </c>
      <c r="B46" s="6" t="s">
        <v>8</v>
      </c>
      <c r="C46" s="7">
        <v>4.5</v>
      </c>
      <c r="D46" s="7">
        <v>2.0</v>
      </c>
      <c r="E46" s="7">
        <v>1.9</v>
      </c>
      <c r="F46" s="7">
        <v>4.0</v>
      </c>
      <c r="H46" s="8">
        <f t="shared" si="1"/>
        <v>12.4</v>
      </c>
      <c r="I46" s="8">
        <f>H46+H47</f>
        <v>22.8</v>
      </c>
    </row>
    <row r="47" ht="15.75" customHeight="1">
      <c r="A47" s="9"/>
      <c r="B47" s="6" t="s">
        <v>9</v>
      </c>
      <c r="C47" s="7">
        <v>2.7</v>
      </c>
      <c r="D47" s="7">
        <v>2.0</v>
      </c>
      <c r="E47" s="7">
        <v>2.0</v>
      </c>
      <c r="F47" s="7">
        <v>3.7</v>
      </c>
      <c r="H47" s="8">
        <f t="shared" si="1"/>
        <v>10.4</v>
      </c>
    </row>
    <row r="48" ht="15.75" customHeight="1">
      <c r="A48" s="13">
        <v>45862.0</v>
      </c>
      <c r="B48" s="6" t="s">
        <v>8</v>
      </c>
      <c r="C48" s="7">
        <v>4.9</v>
      </c>
      <c r="D48" s="7">
        <v>2.0</v>
      </c>
      <c r="E48" s="7">
        <v>2.0</v>
      </c>
      <c r="F48" s="7">
        <v>4.5</v>
      </c>
      <c r="H48" s="8">
        <f t="shared" si="1"/>
        <v>13.4</v>
      </c>
      <c r="I48" s="8">
        <f>H48+H49</f>
        <v>23.7</v>
      </c>
    </row>
    <row r="49" ht="15.75" customHeight="1">
      <c r="A49" s="9"/>
      <c r="B49" s="6" t="s">
        <v>9</v>
      </c>
      <c r="C49" s="7">
        <v>3.4</v>
      </c>
      <c r="D49" s="7">
        <v>1.5</v>
      </c>
      <c r="E49" s="7">
        <v>1.5</v>
      </c>
      <c r="F49" s="7">
        <v>3.9</v>
      </c>
      <c r="H49" s="8">
        <f t="shared" si="1"/>
        <v>10.3</v>
      </c>
    </row>
    <row r="50" ht="15.75" customHeight="1">
      <c r="A50" s="13">
        <v>45863.0</v>
      </c>
      <c r="B50" s="6" t="s">
        <v>8</v>
      </c>
      <c r="C50" s="7">
        <v>4.4</v>
      </c>
      <c r="D50" s="7">
        <v>2.0</v>
      </c>
      <c r="E50" s="7">
        <v>2.0</v>
      </c>
      <c r="F50" s="7">
        <v>4.5</v>
      </c>
      <c r="H50" s="8">
        <f t="shared" si="1"/>
        <v>12.9</v>
      </c>
      <c r="I50" s="8">
        <f>H50+H51</f>
        <v>22.9</v>
      </c>
    </row>
    <row r="51" ht="15.75" customHeight="1">
      <c r="A51" s="9"/>
      <c r="B51" s="6" t="s">
        <v>9</v>
      </c>
      <c r="C51" s="7">
        <v>2.0</v>
      </c>
      <c r="D51" s="7">
        <v>2.0</v>
      </c>
      <c r="E51" s="7">
        <v>2.0</v>
      </c>
      <c r="F51" s="7">
        <v>4.0</v>
      </c>
      <c r="H51" s="8">
        <f t="shared" si="1"/>
        <v>10</v>
      </c>
    </row>
    <row r="52" ht="15.75" customHeight="1">
      <c r="A52" s="13">
        <v>45864.0</v>
      </c>
      <c r="B52" s="6" t="s">
        <v>8</v>
      </c>
      <c r="C52" s="7">
        <v>3.5</v>
      </c>
      <c r="D52" s="7">
        <v>1.7</v>
      </c>
      <c r="E52" s="7">
        <v>1.5</v>
      </c>
      <c r="F52" s="7">
        <v>4.0</v>
      </c>
      <c r="H52" s="8">
        <f t="shared" si="1"/>
        <v>10.7</v>
      </c>
      <c r="I52" s="8">
        <f>H51+H52</f>
        <v>20.7</v>
      </c>
    </row>
    <row r="53" ht="15.75" customHeight="1">
      <c r="A53" s="9"/>
      <c r="B53" s="6" t="s">
        <v>9</v>
      </c>
      <c r="C53" s="7">
        <v>3.5</v>
      </c>
      <c r="D53" s="7">
        <v>1.5</v>
      </c>
      <c r="E53" s="7">
        <v>1.7</v>
      </c>
      <c r="F53" s="7">
        <v>4.0</v>
      </c>
      <c r="H53" s="8">
        <f t="shared" si="1"/>
        <v>10.7</v>
      </c>
    </row>
    <row r="54" ht="15.75" customHeight="1">
      <c r="A54" s="13">
        <v>45865.0</v>
      </c>
      <c r="B54" s="6" t="s">
        <v>8</v>
      </c>
      <c r="C54" s="7">
        <v>5.3</v>
      </c>
      <c r="D54" s="7">
        <v>1.5</v>
      </c>
      <c r="E54" s="7">
        <v>1.8</v>
      </c>
      <c r="F54" s="7">
        <v>3.4</v>
      </c>
      <c r="H54" s="8">
        <f t="shared" si="1"/>
        <v>12</v>
      </c>
      <c r="I54" s="8">
        <f>H54+H55</f>
        <v>23</v>
      </c>
    </row>
    <row r="55" ht="15.75" customHeight="1">
      <c r="A55" s="9"/>
      <c r="B55" s="6" t="s">
        <v>9</v>
      </c>
      <c r="C55" s="7">
        <v>3.5</v>
      </c>
      <c r="D55" s="7">
        <v>1.5</v>
      </c>
      <c r="E55" s="7">
        <v>2.0</v>
      </c>
      <c r="F55" s="7">
        <v>4.0</v>
      </c>
      <c r="H55" s="8">
        <f t="shared" si="1"/>
        <v>11</v>
      </c>
    </row>
    <row r="56" ht="15.75" customHeight="1">
      <c r="A56" s="13">
        <v>45866.0</v>
      </c>
      <c r="B56" s="6" t="s">
        <v>8</v>
      </c>
      <c r="C56" s="7">
        <v>4.9</v>
      </c>
      <c r="D56" s="7">
        <v>2.0</v>
      </c>
      <c r="E56" s="7">
        <v>2.0</v>
      </c>
      <c r="F56" s="7">
        <v>4.7</v>
      </c>
      <c r="H56" s="8">
        <f t="shared" si="1"/>
        <v>13.6</v>
      </c>
      <c r="I56" s="8">
        <f>H56+H57</f>
        <v>25.3</v>
      </c>
    </row>
    <row r="57" ht="15.75" customHeight="1">
      <c r="A57" s="9"/>
      <c r="B57" s="6" t="s">
        <v>9</v>
      </c>
      <c r="C57" s="7">
        <v>4.0</v>
      </c>
      <c r="D57" s="7">
        <v>1.5</v>
      </c>
      <c r="E57" s="7">
        <v>1.7</v>
      </c>
      <c r="F57" s="7">
        <v>4.5</v>
      </c>
      <c r="H57" s="8">
        <f t="shared" si="1"/>
        <v>11.7</v>
      </c>
    </row>
    <row r="58" ht="15.75" customHeight="1">
      <c r="A58" s="13">
        <v>45867.0</v>
      </c>
      <c r="B58" s="6" t="s">
        <v>8</v>
      </c>
      <c r="C58" s="7">
        <v>4.5</v>
      </c>
      <c r="D58" s="7">
        <v>2.0</v>
      </c>
      <c r="E58" s="7">
        <v>2.0</v>
      </c>
      <c r="F58" s="7">
        <v>4.0</v>
      </c>
      <c r="H58" s="8">
        <f t="shared" si="1"/>
        <v>12.5</v>
      </c>
      <c r="I58" s="8">
        <f>H58+H59</f>
        <v>23.8</v>
      </c>
    </row>
    <row r="59" ht="15.75" customHeight="1">
      <c r="A59" s="9"/>
      <c r="B59" s="6" t="s">
        <v>9</v>
      </c>
      <c r="C59" s="7">
        <v>3.5</v>
      </c>
      <c r="D59" s="7">
        <v>1.5</v>
      </c>
      <c r="E59" s="7">
        <v>1.8</v>
      </c>
      <c r="F59" s="7">
        <v>4.5</v>
      </c>
      <c r="H59" s="8">
        <f t="shared" si="1"/>
        <v>11.3</v>
      </c>
    </row>
    <row r="60" ht="15.75" customHeight="1">
      <c r="A60" s="13">
        <v>45868.0</v>
      </c>
      <c r="B60" s="6" t="s">
        <v>8</v>
      </c>
      <c r="C60" s="7">
        <v>5.4</v>
      </c>
      <c r="D60" s="7">
        <v>2.0</v>
      </c>
      <c r="E60" s="7">
        <v>2.0</v>
      </c>
      <c r="F60" s="7">
        <v>4.5</v>
      </c>
      <c r="H60" s="8">
        <f t="shared" si="1"/>
        <v>13.9</v>
      </c>
      <c r="I60" s="8">
        <f>H60+H61</f>
        <v>24.9</v>
      </c>
    </row>
    <row r="61" ht="15.75" customHeight="1">
      <c r="A61" s="9"/>
      <c r="B61" s="6" t="s">
        <v>9</v>
      </c>
      <c r="C61" s="7">
        <v>3.5</v>
      </c>
      <c r="D61" s="7">
        <v>1.5</v>
      </c>
      <c r="E61" s="7">
        <v>2.0</v>
      </c>
      <c r="F61" s="7">
        <v>4.0</v>
      </c>
      <c r="H61" s="8">
        <f t="shared" si="1"/>
        <v>11</v>
      </c>
    </row>
    <row r="62" ht="15.75" customHeight="1">
      <c r="A62" s="13">
        <v>45869.0</v>
      </c>
      <c r="B62" s="6" t="s">
        <v>8</v>
      </c>
      <c r="C62" s="7">
        <v>4.0</v>
      </c>
      <c r="D62" s="7">
        <v>1.5</v>
      </c>
      <c r="E62" s="7">
        <v>2.5</v>
      </c>
      <c r="F62" s="7">
        <v>4.5</v>
      </c>
      <c r="H62" s="8">
        <f t="shared" si="1"/>
        <v>12.5</v>
      </c>
      <c r="I62" s="8">
        <f>H62+H63</f>
        <v>24.5</v>
      </c>
    </row>
    <row r="63" ht="15.75" customHeight="1">
      <c r="A63" s="9"/>
      <c r="B63" s="6" t="s">
        <v>9</v>
      </c>
      <c r="C63" s="7">
        <v>4.0</v>
      </c>
      <c r="D63" s="7">
        <v>1.5</v>
      </c>
      <c r="E63" s="7">
        <v>2.0</v>
      </c>
      <c r="F63" s="7">
        <v>4.5</v>
      </c>
      <c r="H63" s="8">
        <f t="shared" si="1"/>
        <v>12</v>
      </c>
    </row>
    <row r="64" ht="15.75" customHeight="1"/>
    <row r="65" ht="15.75" customHeight="1">
      <c r="A65" s="10"/>
    </row>
    <row r="66" ht="15.75" customHeight="1"/>
    <row r="67" ht="15.75" customHeight="1">
      <c r="A67" s="10"/>
    </row>
    <row r="68" ht="15.75" customHeight="1"/>
    <row r="69" ht="15.75" customHeight="1">
      <c r="A69" s="10"/>
    </row>
    <row r="70" ht="15.75" customHeight="1"/>
    <row r="71" ht="15.75" customHeight="1">
      <c r="A71" s="10"/>
    </row>
    <row r="72" ht="15.75" customHeight="1"/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65:A66"/>
    <mergeCell ref="A67:A68"/>
    <mergeCell ref="A69:A70"/>
    <mergeCell ref="A71:A72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572.9</v>
      </c>
    </row>
    <row r="4">
      <c r="A4" s="7" t="s">
        <v>2</v>
      </c>
      <c r="B4" s="8">
        <f>SUM(July!C2:C63)</f>
        <v>238.1</v>
      </c>
    </row>
    <row r="5">
      <c r="A5" s="7" t="s">
        <v>3</v>
      </c>
      <c r="B5" s="8">
        <f>SUM(July!D2:D63)</f>
        <v>87</v>
      </c>
    </row>
    <row r="6">
      <c r="A6" s="7" t="s">
        <v>4</v>
      </c>
      <c r="B6" s="8">
        <f>SUM(July!E2:E63)</f>
        <v>88.6</v>
      </c>
    </row>
    <row r="7">
      <c r="A7" s="7" t="s">
        <v>5</v>
      </c>
      <c r="B7" s="8">
        <f>sum(July!F2:F63)</f>
        <v>159.2</v>
      </c>
    </row>
    <row r="8">
      <c r="A8" s="7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8" width="14.86"/>
    <col customWidth="1" min="9" max="9" width="17.71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 t="s">
        <v>6</v>
      </c>
      <c r="I1" s="3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45870.0</v>
      </c>
      <c r="B2" s="6" t="s">
        <v>8</v>
      </c>
      <c r="C2" s="7">
        <v>4.7</v>
      </c>
      <c r="D2" s="7">
        <v>2.0</v>
      </c>
      <c r="E2" s="7">
        <v>2.4</v>
      </c>
      <c r="F2" s="7">
        <v>4.5</v>
      </c>
      <c r="H2" s="8">
        <f t="shared" ref="H2:H63" si="1">SUM(C2:F2)</f>
        <v>13.6</v>
      </c>
      <c r="I2" s="8">
        <f>H2+H3</f>
        <v>24.6</v>
      </c>
    </row>
    <row r="3">
      <c r="A3" s="9"/>
      <c r="B3" s="6" t="s">
        <v>9</v>
      </c>
      <c r="C3" s="7">
        <v>3.5</v>
      </c>
      <c r="D3" s="7">
        <v>1.5</v>
      </c>
      <c r="E3" s="7">
        <v>1.5</v>
      </c>
      <c r="F3" s="7">
        <v>4.5</v>
      </c>
      <c r="H3" s="8">
        <f t="shared" si="1"/>
        <v>11</v>
      </c>
    </row>
    <row r="4">
      <c r="A4" s="13">
        <v>45871.0</v>
      </c>
      <c r="B4" s="6" t="s">
        <v>8</v>
      </c>
      <c r="C4" s="7">
        <v>4.9</v>
      </c>
      <c r="D4" s="7">
        <v>2.0</v>
      </c>
      <c r="E4" s="7">
        <v>2.4</v>
      </c>
      <c r="F4" s="7">
        <v>5.0</v>
      </c>
      <c r="H4" s="8">
        <f t="shared" si="1"/>
        <v>14.3</v>
      </c>
      <c r="I4" s="8">
        <f>H4+H5</f>
        <v>25.8</v>
      </c>
    </row>
    <row r="5">
      <c r="A5" s="9"/>
      <c r="B5" s="6" t="s">
        <v>9</v>
      </c>
      <c r="C5" s="7">
        <v>4.6</v>
      </c>
      <c r="D5" s="7">
        <v>1.5</v>
      </c>
      <c r="E5" s="7">
        <v>1.7</v>
      </c>
      <c r="F5" s="7">
        <v>3.7</v>
      </c>
      <c r="H5" s="8">
        <f t="shared" si="1"/>
        <v>11.5</v>
      </c>
    </row>
    <row r="6">
      <c r="A6" s="13">
        <v>45872.0</v>
      </c>
      <c r="B6" s="6" t="s">
        <v>8</v>
      </c>
      <c r="C6" s="7">
        <v>4.5</v>
      </c>
      <c r="D6" s="7">
        <v>2.0</v>
      </c>
      <c r="E6" s="7">
        <v>2.5</v>
      </c>
      <c r="F6" s="7">
        <v>4.5</v>
      </c>
      <c r="H6" s="8">
        <f t="shared" si="1"/>
        <v>13.5</v>
      </c>
      <c r="I6" s="8">
        <f>H6+H7</f>
        <v>23.2</v>
      </c>
    </row>
    <row r="7">
      <c r="A7" s="9"/>
      <c r="B7" s="6" t="s">
        <v>9</v>
      </c>
      <c r="C7" s="7">
        <v>1.5</v>
      </c>
      <c r="D7" s="7">
        <v>1.5</v>
      </c>
      <c r="E7" s="7">
        <v>2.5</v>
      </c>
      <c r="F7" s="7">
        <v>4.2</v>
      </c>
      <c r="H7" s="8">
        <f t="shared" si="1"/>
        <v>9.7</v>
      </c>
    </row>
    <row r="8">
      <c r="A8" s="13">
        <v>45873.0</v>
      </c>
      <c r="B8" s="6" t="s">
        <v>8</v>
      </c>
      <c r="C8" s="7">
        <v>4.9</v>
      </c>
      <c r="D8" s="7">
        <v>1.9</v>
      </c>
      <c r="E8" s="7">
        <v>2.5</v>
      </c>
      <c r="F8" s="7">
        <v>3.5</v>
      </c>
      <c r="H8" s="8">
        <f t="shared" si="1"/>
        <v>12.8</v>
      </c>
      <c r="I8" s="8">
        <f>H8+H9</f>
        <v>23.8</v>
      </c>
    </row>
    <row r="9">
      <c r="A9" s="9"/>
      <c r="B9" s="6" t="s">
        <v>9</v>
      </c>
      <c r="C9" s="7">
        <v>3.0</v>
      </c>
      <c r="D9" s="7">
        <v>2.0</v>
      </c>
      <c r="E9" s="7">
        <v>2.0</v>
      </c>
      <c r="F9" s="7">
        <v>4.0</v>
      </c>
      <c r="H9" s="8">
        <f t="shared" si="1"/>
        <v>11</v>
      </c>
    </row>
    <row r="10">
      <c r="A10" s="13">
        <v>45874.0</v>
      </c>
      <c r="B10" s="6" t="s">
        <v>8</v>
      </c>
      <c r="C10" s="7">
        <v>4.4</v>
      </c>
      <c r="D10" s="7">
        <v>2.0</v>
      </c>
      <c r="E10" s="7">
        <v>2.5</v>
      </c>
      <c r="F10" s="7">
        <v>4.2</v>
      </c>
      <c r="H10" s="8">
        <f t="shared" si="1"/>
        <v>13.1</v>
      </c>
      <c r="I10" s="8">
        <f>H10+H11</f>
        <v>23.1</v>
      </c>
    </row>
    <row r="11">
      <c r="A11" s="9"/>
      <c r="B11" s="6" t="s">
        <v>9</v>
      </c>
      <c r="C11" s="7">
        <v>2.5</v>
      </c>
      <c r="D11" s="7">
        <v>2.0</v>
      </c>
      <c r="E11" s="7">
        <v>2.0</v>
      </c>
      <c r="F11" s="7">
        <v>3.5</v>
      </c>
      <c r="H11" s="8">
        <f t="shared" si="1"/>
        <v>10</v>
      </c>
    </row>
    <row r="12">
      <c r="A12" s="13">
        <v>45875.0</v>
      </c>
      <c r="B12" s="6" t="s">
        <v>8</v>
      </c>
      <c r="C12" s="7">
        <v>4.5</v>
      </c>
      <c r="D12" s="7">
        <v>2.0</v>
      </c>
      <c r="E12" s="7">
        <v>2.5</v>
      </c>
      <c r="F12" s="7">
        <v>3.4</v>
      </c>
      <c r="H12" s="8">
        <f t="shared" si="1"/>
        <v>12.4</v>
      </c>
      <c r="I12" s="8">
        <f>H12+H13</f>
        <v>21.6</v>
      </c>
    </row>
    <row r="13">
      <c r="A13" s="9"/>
      <c r="B13" s="6" t="s">
        <v>9</v>
      </c>
      <c r="C13" s="7">
        <v>2.7</v>
      </c>
      <c r="D13" s="7">
        <v>1.5</v>
      </c>
      <c r="E13" s="7">
        <v>1.5</v>
      </c>
      <c r="F13" s="7">
        <v>3.5</v>
      </c>
      <c r="H13" s="8">
        <f t="shared" si="1"/>
        <v>9.2</v>
      </c>
    </row>
    <row r="14">
      <c r="A14" s="13">
        <v>45876.0</v>
      </c>
      <c r="B14" s="6" t="s">
        <v>8</v>
      </c>
      <c r="C14" s="7">
        <v>5.5</v>
      </c>
      <c r="D14" s="7">
        <v>2.0</v>
      </c>
      <c r="E14" s="7">
        <v>2.5</v>
      </c>
      <c r="F14" s="7">
        <v>4.5</v>
      </c>
      <c r="H14" s="8">
        <f t="shared" si="1"/>
        <v>14.5</v>
      </c>
      <c r="I14" s="8">
        <f>H14+H15</f>
        <v>25.6</v>
      </c>
    </row>
    <row r="15">
      <c r="A15" s="9"/>
      <c r="B15" s="6" t="s">
        <v>9</v>
      </c>
      <c r="C15" s="7">
        <v>3.4</v>
      </c>
      <c r="D15" s="7">
        <v>2.0</v>
      </c>
      <c r="E15" s="7">
        <v>2.0</v>
      </c>
      <c r="F15" s="7">
        <v>3.7</v>
      </c>
      <c r="H15" s="8">
        <f t="shared" si="1"/>
        <v>11.1</v>
      </c>
    </row>
    <row r="16">
      <c r="A16" s="13">
        <v>45877.0</v>
      </c>
      <c r="B16" s="6" t="s">
        <v>8</v>
      </c>
      <c r="C16" s="7">
        <v>5.0</v>
      </c>
      <c r="D16" s="7">
        <v>2.4</v>
      </c>
      <c r="E16" s="7">
        <v>2.5</v>
      </c>
      <c r="F16" s="7">
        <v>4.4</v>
      </c>
      <c r="H16" s="8">
        <f t="shared" si="1"/>
        <v>14.3</v>
      </c>
      <c r="I16" s="8">
        <f>H16+H17</f>
        <v>25.3</v>
      </c>
    </row>
    <row r="17">
      <c r="A17" s="9"/>
      <c r="B17" s="6" t="s">
        <v>9</v>
      </c>
      <c r="C17" s="7">
        <v>3.0</v>
      </c>
      <c r="D17" s="7">
        <v>2.0</v>
      </c>
      <c r="E17" s="7">
        <v>2.0</v>
      </c>
      <c r="F17" s="7">
        <v>4.0</v>
      </c>
      <c r="H17" s="8">
        <f t="shared" si="1"/>
        <v>11</v>
      </c>
    </row>
    <row r="18">
      <c r="A18" s="13">
        <v>45878.0</v>
      </c>
      <c r="B18" s="6" t="s">
        <v>8</v>
      </c>
      <c r="C18" s="7">
        <v>5.4</v>
      </c>
      <c r="D18" s="7">
        <v>2.0</v>
      </c>
      <c r="E18" s="7">
        <v>2.5</v>
      </c>
      <c r="F18" s="7">
        <v>4.5</v>
      </c>
      <c r="H18" s="8">
        <f t="shared" si="1"/>
        <v>14.4</v>
      </c>
      <c r="I18" s="8">
        <f>H18+H19</f>
        <v>25.7</v>
      </c>
    </row>
    <row r="19">
      <c r="A19" s="9"/>
      <c r="B19" s="6" t="s">
        <v>9</v>
      </c>
      <c r="C19" s="7">
        <v>3.5</v>
      </c>
      <c r="D19" s="7">
        <v>1.9</v>
      </c>
      <c r="E19" s="7">
        <v>2.0</v>
      </c>
      <c r="F19" s="7">
        <v>3.9</v>
      </c>
      <c r="H19" s="8">
        <f t="shared" si="1"/>
        <v>11.3</v>
      </c>
    </row>
    <row r="20">
      <c r="A20" s="13">
        <v>45879.0</v>
      </c>
      <c r="B20" s="6" t="s">
        <v>8</v>
      </c>
      <c r="C20" s="7">
        <v>4.5</v>
      </c>
      <c r="D20" s="7">
        <v>2.0</v>
      </c>
      <c r="E20" s="7">
        <v>2.5</v>
      </c>
      <c r="F20" s="7">
        <v>4.0</v>
      </c>
      <c r="H20" s="8">
        <f t="shared" si="1"/>
        <v>13</v>
      </c>
      <c r="I20" s="8">
        <f>H20+H21</f>
        <v>23.1</v>
      </c>
    </row>
    <row r="21" ht="15.75" customHeight="1">
      <c r="A21" s="9"/>
      <c r="B21" s="6" t="s">
        <v>9</v>
      </c>
      <c r="C21" s="7">
        <v>3.4</v>
      </c>
      <c r="D21" s="7">
        <v>1.7</v>
      </c>
      <c r="E21" s="7">
        <v>2.0</v>
      </c>
      <c r="F21" s="7">
        <v>3.0</v>
      </c>
      <c r="H21" s="8">
        <f t="shared" si="1"/>
        <v>10.1</v>
      </c>
    </row>
    <row r="22" ht="15.75" customHeight="1">
      <c r="A22" s="13">
        <v>45880.0</v>
      </c>
      <c r="B22" s="6" t="s">
        <v>8</v>
      </c>
      <c r="C22" s="7">
        <v>5.5</v>
      </c>
      <c r="D22" s="7">
        <v>2.0</v>
      </c>
      <c r="E22" s="7">
        <v>2.3</v>
      </c>
      <c r="F22" s="7">
        <v>3.4</v>
      </c>
      <c r="H22" s="8">
        <f t="shared" si="1"/>
        <v>13.2</v>
      </c>
      <c r="I22" s="8">
        <f>H22+H23</f>
        <v>23.8</v>
      </c>
    </row>
    <row r="23" ht="15.75" customHeight="1">
      <c r="A23" s="9"/>
      <c r="B23" s="6" t="s">
        <v>9</v>
      </c>
      <c r="C23" s="7">
        <v>3.0</v>
      </c>
      <c r="D23" s="7">
        <v>2.0</v>
      </c>
      <c r="E23" s="7">
        <v>2.1</v>
      </c>
      <c r="F23" s="7">
        <v>3.5</v>
      </c>
      <c r="H23" s="8">
        <f t="shared" si="1"/>
        <v>10.6</v>
      </c>
    </row>
    <row r="24" ht="15.75" customHeight="1">
      <c r="A24" s="13">
        <v>45881.0</v>
      </c>
      <c r="B24" s="6" t="s">
        <v>8</v>
      </c>
      <c r="C24" s="7">
        <v>4.7</v>
      </c>
      <c r="D24" s="7">
        <v>2.2</v>
      </c>
      <c r="E24" s="7">
        <v>2.5</v>
      </c>
      <c r="F24" s="7">
        <v>4.0</v>
      </c>
      <c r="H24" s="8">
        <f t="shared" si="1"/>
        <v>13.4</v>
      </c>
      <c r="I24" s="8">
        <f>H24+H25</f>
        <v>24.1</v>
      </c>
    </row>
    <row r="25" ht="15.75" customHeight="1">
      <c r="A25" s="9"/>
      <c r="B25" s="6" t="s">
        <v>9</v>
      </c>
      <c r="C25" s="7">
        <v>2.5</v>
      </c>
      <c r="D25" s="7">
        <v>2.0</v>
      </c>
      <c r="E25" s="7">
        <v>2.2</v>
      </c>
      <c r="F25" s="7">
        <v>4.0</v>
      </c>
      <c r="H25" s="8">
        <f t="shared" si="1"/>
        <v>10.7</v>
      </c>
    </row>
    <row r="26" ht="15.75" customHeight="1">
      <c r="A26" s="13">
        <v>45882.0</v>
      </c>
      <c r="B26" s="6" t="s">
        <v>8</v>
      </c>
      <c r="C26" s="7">
        <v>5.4</v>
      </c>
      <c r="D26" s="7">
        <v>2.2</v>
      </c>
      <c r="E26" s="7">
        <v>2.5</v>
      </c>
      <c r="F26" s="7">
        <v>4.4</v>
      </c>
      <c r="H26" s="8">
        <f t="shared" si="1"/>
        <v>14.5</v>
      </c>
      <c r="I26" s="8">
        <f>H26+H27</f>
        <v>25.1</v>
      </c>
    </row>
    <row r="27" ht="15.75" customHeight="1">
      <c r="A27" s="9"/>
      <c r="B27" s="6" t="s">
        <v>9</v>
      </c>
      <c r="C27" s="7">
        <v>2.9</v>
      </c>
      <c r="D27" s="7">
        <v>2.0</v>
      </c>
      <c r="E27" s="7">
        <v>2.0</v>
      </c>
      <c r="F27" s="7">
        <v>3.7</v>
      </c>
      <c r="H27" s="8">
        <f t="shared" si="1"/>
        <v>10.6</v>
      </c>
    </row>
    <row r="28" ht="15.75" customHeight="1">
      <c r="A28" s="13">
        <v>45883.0</v>
      </c>
      <c r="B28" s="6" t="s">
        <v>8</v>
      </c>
      <c r="C28" s="7">
        <v>4.4</v>
      </c>
      <c r="D28" s="7">
        <v>2.0</v>
      </c>
      <c r="E28" s="7">
        <v>2.2</v>
      </c>
      <c r="F28" s="7">
        <v>4.7</v>
      </c>
      <c r="H28" s="8">
        <f t="shared" si="1"/>
        <v>13.3</v>
      </c>
      <c r="I28" s="8">
        <f>H28+H29</f>
        <v>24.2</v>
      </c>
    </row>
    <row r="29" ht="15.75" customHeight="1">
      <c r="A29" s="9"/>
      <c r="B29" s="6" t="s">
        <v>9</v>
      </c>
      <c r="C29" s="7">
        <v>2.5</v>
      </c>
      <c r="D29" s="7">
        <v>2.0</v>
      </c>
      <c r="E29" s="7">
        <v>2.0</v>
      </c>
      <c r="F29" s="7">
        <v>4.4</v>
      </c>
      <c r="H29" s="8">
        <f t="shared" si="1"/>
        <v>10.9</v>
      </c>
    </row>
    <row r="30" ht="15.75" customHeight="1">
      <c r="A30" s="13">
        <v>45884.0</v>
      </c>
      <c r="B30" s="6" t="s">
        <v>8</v>
      </c>
      <c r="C30" s="7">
        <v>4.0</v>
      </c>
      <c r="D30" s="7">
        <v>2.0</v>
      </c>
      <c r="E30" s="7">
        <v>1.5</v>
      </c>
      <c r="F30" s="7">
        <v>4.5</v>
      </c>
      <c r="H30" s="8">
        <f t="shared" si="1"/>
        <v>12</v>
      </c>
      <c r="I30" s="8">
        <f>H30+H31</f>
        <v>22.6</v>
      </c>
    </row>
    <row r="31" ht="15.75" customHeight="1">
      <c r="A31" s="9"/>
      <c r="B31" s="6" t="s">
        <v>9</v>
      </c>
      <c r="C31" s="7">
        <v>3.1</v>
      </c>
      <c r="D31" s="7">
        <v>2.0</v>
      </c>
      <c r="E31" s="7">
        <v>2.0</v>
      </c>
      <c r="F31" s="7">
        <v>3.5</v>
      </c>
      <c r="H31" s="8">
        <f t="shared" si="1"/>
        <v>10.6</v>
      </c>
    </row>
    <row r="32" ht="15.75" customHeight="1">
      <c r="A32" s="13">
        <v>45885.0</v>
      </c>
      <c r="B32" s="6" t="s">
        <v>8</v>
      </c>
      <c r="C32" s="7">
        <v>4.0</v>
      </c>
      <c r="D32" s="7">
        <v>2.0</v>
      </c>
      <c r="E32" s="7">
        <v>2.4</v>
      </c>
      <c r="F32" s="7">
        <v>4.0</v>
      </c>
      <c r="H32" s="8">
        <f t="shared" si="1"/>
        <v>12.4</v>
      </c>
      <c r="I32" s="8">
        <f>H32+H33</f>
        <v>22.7</v>
      </c>
    </row>
    <row r="33" ht="15.75" customHeight="1">
      <c r="A33" s="9"/>
      <c r="B33" s="6" t="s">
        <v>9</v>
      </c>
      <c r="C33" s="7">
        <v>2.4</v>
      </c>
      <c r="D33" s="7">
        <v>2.0</v>
      </c>
      <c r="E33" s="7">
        <v>2.4</v>
      </c>
      <c r="F33" s="7">
        <v>3.5</v>
      </c>
      <c r="H33" s="8">
        <f t="shared" si="1"/>
        <v>10.3</v>
      </c>
    </row>
    <row r="34" ht="15.75" customHeight="1">
      <c r="A34" s="13">
        <v>45886.0</v>
      </c>
      <c r="B34" s="6" t="s">
        <v>8</v>
      </c>
      <c r="C34" s="7">
        <v>5.0</v>
      </c>
      <c r="D34" s="7">
        <v>2.2</v>
      </c>
      <c r="E34" s="7">
        <v>2.5</v>
      </c>
      <c r="F34" s="7">
        <v>4.0</v>
      </c>
      <c r="H34" s="8">
        <f t="shared" si="1"/>
        <v>13.7</v>
      </c>
      <c r="I34" s="8">
        <f>H34+H35</f>
        <v>23.4</v>
      </c>
    </row>
    <row r="35" ht="15.75" customHeight="1">
      <c r="A35" s="9"/>
      <c r="B35" s="6" t="s">
        <v>9</v>
      </c>
      <c r="C35" s="7">
        <v>2.7</v>
      </c>
      <c r="D35" s="7">
        <v>2.0</v>
      </c>
      <c r="E35" s="7">
        <v>2.0</v>
      </c>
      <c r="F35" s="7">
        <v>3.0</v>
      </c>
      <c r="H35" s="8">
        <f t="shared" si="1"/>
        <v>9.7</v>
      </c>
    </row>
    <row r="36" ht="15.75" customHeight="1">
      <c r="A36" s="13">
        <v>45887.0</v>
      </c>
      <c r="B36" s="6" t="s">
        <v>8</v>
      </c>
      <c r="C36" s="7">
        <v>4.5</v>
      </c>
      <c r="D36" s="7">
        <v>2.3</v>
      </c>
      <c r="E36" s="7">
        <v>2.2</v>
      </c>
      <c r="F36" s="7">
        <v>4.7</v>
      </c>
      <c r="H36" s="8">
        <f t="shared" si="1"/>
        <v>13.7</v>
      </c>
      <c r="I36" s="8">
        <f>H36+H37</f>
        <v>24.2</v>
      </c>
    </row>
    <row r="37" ht="15.75" customHeight="1">
      <c r="A37" s="9"/>
      <c r="B37" s="6" t="s">
        <v>9</v>
      </c>
      <c r="C37" s="7">
        <v>3.0</v>
      </c>
      <c r="D37" s="7">
        <v>1.5</v>
      </c>
      <c r="E37" s="7">
        <v>2.0</v>
      </c>
      <c r="F37" s="7">
        <v>4.0</v>
      </c>
      <c r="H37" s="8">
        <f t="shared" si="1"/>
        <v>10.5</v>
      </c>
    </row>
    <row r="38" ht="15.75" customHeight="1">
      <c r="A38" s="13">
        <v>45888.0</v>
      </c>
      <c r="B38" s="6" t="s">
        <v>8</v>
      </c>
      <c r="C38" s="7">
        <v>4.9</v>
      </c>
      <c r="D38" s="7">
        <v>2.0</v>
      </c>
      <c r="E38" s="7">
        <v>2.0</v>
      </c>
      <c r="F38" s="7">
        <v>5.0</v>
      </c>
      <c r="H38" s="8">
        <f t="shared" si="1"/>
        <v>13.9</v>
      </c>
      <c r="I38" s="8">
        <f>H38+H39</f>
        <v>22.6</v>
      </c>
    </row>
    <row r="39" ht="15.75" customHeight="1">
      <c r="A39" s="9"/>
      <c r="B39" s="6" t="s">
        <v>9</v>
      </c>
      <c r="C39" s="7">
        <v>3.0</v>
      </c>
      <c r="D39" s="7">
        <v>2.0</v>
      </c>
      <c r="F39" s="7">
        <v>3.7</v>
      </c>
      <c r="H39" s="8">
        <f t="shared" si="1"/>
        <v>8.7</v>
      </c>
    </row>
    <row r="40" ht="15.75" customHeight="1">
      <c r="A40" s="13">
        <v>45889.0</v>
      </c>
      <c r="B40" s="6" t="s">
        <v>8</v>
      </c>
      <c r="C40" s="7">
        <v>0.5</v>
      </c>
      <c r="D40" s="7">
        <v>1.5</v>
      </c>
      <c r="E40" s="7">
        <v>2.6</v>
      </c>
      <c r="F40" s="7">
        <v>4.7</v>
      </c>
      <c r="H40" s="8">
        <f t="shared" si="1"/>
        <v>9.3</v>
      </c>
      <c r="I40" s="8">
        <f>H40+H41</f>
        <v>20.9</v>
      </c>
    </row>
    <row r="41" ht="15.75" customHeight="1">
      <c r="A41" s="9"/>
      <c r="B41" s="6" t="s">
        <v>9</v>
      </c>
      <c r="C41" s="7">
        <v>2.9</v>
      </c>
      <c r="D41" s="7">
        <v>1.5</v>
      </c>
      <c r="E41" s="7">
        <v>2.7</v>
      </c>
      <c r="F41" s="7">
        <v>4.5</v>
      </c>
      <c r="H41" s="8">
        <f t="shared" si="1"/>
        <v>11.6</v>
      </c>
    </row>
    <row r="42" ht="15.75" customHeight="1">
      <c r="A42" s="13">
        <v>45890.0</v>
      </c>
      <c r="B42" s="6" t="s">
        <v>8</v>
      </c>
      <c r="C42" s="7">
        <v>4.8</v>
      </c>
      <c r="D42" s="7">
        <v>0.8</v>
      </c>
      <c r="E42" s="7">
        <v>2.5</v>
      </c>
      <c r="F42" s="7">
        <v>4.8</v>
      </c>
      <c r="H42" s="8">
        <f t="shared" si="1"/>
        <v>12.9</v>
      </c>
      <c r="I42" s="8">
        <f>H42+H43</f>
        <v>22.6</v>
      </c>
    </row>
    <row r="43" ht="15.75" customHeight="1">
      <c r="A43" s="9"/>
      <c r="B43" s="6" t="s">
        <v>9</v>
      </c>
      <c r="C43" s="7">
        <v>3.0</v>
      </c>
      <c r="D43" s="7">
        <v>0.7</v>
      </c>
      <c r="E43" s="7">
        <v>2.0</v>
      </c>
      <c r="F43" s="7">
        <v>4.0</v>
      </c>
      <c r="H43" s="8">
        <f t="shared" si="1"/>
        <v>9.7</v>
      </c>
    </row>
    <row r="44" ht="15.75" customHeight="1">
      <c r="A44" s="13">
        <v>45891.0</v>
      </c>
      <c r="B44" s="6" t="s">
        <v>8</v>
      </c>
      <c r="C44" s="7">
        <v>3.7</v>
      </c>
      <c r="D44" s="7">
        <v>1.0</v>
      </c>
      <c r="E44" s="7">
        <v>3.0</v>
      </c>
      <c r="F44" s="7">
        <v>4.8</v>
      </c>
      <c r="H44" s="8">
        <f t="shared" si="1"/>
        <v>12.5</v>
      </c>
      <c r="I44" s="8">
        <f>H44+H45</f>
        <v>23.2</v>
      </c>
    </row>
    <row r="45" ht="15.75" customHeight="1">
      <c r="A45" s="9"/>
      <c r="B45" s="6" t="s">
        <v>9</v>
      </c>
      <c r="C45" s="7">
        <v>3.0</v>
      </c>
      <c r="D45" s="7">
        <v>0.8</v>
      </c>
      <c r="E45" s="7">
        <v>2.9</v>
      </c>
      <c r="F45" s="7">
        <v>4.0</v>
      </c>
      <c r="H45" s="8">
        <f t="shared" si="1"/>
        <v>10.7</v>
      </c>
    </row>
    <row r="46" ht="15.75" customHeight="1">
      <c r="A46" s="13">
        <v>45892.0</v>
      </c>
      <c r="B46" s="6" t="s">
        <v>8</v>
      </c>
      <c r="C46" s="7">
        <v>4.8</v>
      </c>
      <c r="D46" s="7">
        <v>0.8</v>
      </c>
      <c r="E46" s="7">
        <v>3.0</v>
      </c>
      <c r="F46" s="7">
        <v>4.8</v>
      </c>
      <c r="H46" s="8">
        <f t="shared" si="1"/>
        <v>13.4</v>
      </c>
      <c r="I46" s="8">
        <f>H46+H47</f>
        <v>23.4</v>
      </c>
    </row>
    <row r="47" ht="15.75" customHeight="1">
      <c r="A47" s="9"/>
      <c r="B47" s="6" t="s">
        <v>9</v>
      </c>
      <c r="C47" s="7">
        <v>3.0</v>
      </c>
      <c r="D47" s="7">
        <v>0.5</v>
      </c>
      <c r="E47" s="7">
        <v>2.5</v>
      </c>
      <c r="F47" s="7">
        <v>4.0</v>
      </c>
      <c r="H47" s="8">
        <f t="shared" si="1"/>
        <v>10</v>
      </c>
    </row>
    <row r="48" ht="15.75" customHeight="1">
      <c r="A48" s="13">
        <v>45893.0</v>
      </c>
      <c r="B48" s="6" t="s">
        <v>8</v>
      </c>
      <c r="C48" s="7">
        <v>4.0</v>
      </c>
      <c r="D48" s="7">
        <v>0.5</v>
      </c>
      <c r="E48" s="7">
        <v>3.0</v>
      </c>
      <c r="F48" s="7">
        <v>4.5</v>
      </c>
      <c r="H48" s="8">
        <f t="shared" si="1"/>
        <v>12</v>
      </c>
      <c r="I48" s="8">
        <f>H48+H49</f>
        <v>23.8</v>
      </c>
    </row>
    <row r="49" ht="15.75" customHeight="1">
      <c r="A49" s="9"/>
      <c r="B49" s="6" t="s">
        <v>9</v>
      </c>
      <c r="C49" s="7">
        <v>4.0</v>
      </c>
      <c r="D49" s="7">
        <v>0.8</v>
      </c>
      <c r="E49" s="7">
        <v>3.0</v>
      </c>
      <c r="F49" s="7">
        <v>4.0</v>
      </c>
      <c r="H49" s="8">
        <f t="shared" si="1"/>
        <v>11.8</v>
      </c>
    </row>
    <row r="50" ht="15.75" customHeight="1">
      <c r="A50" s="13">
        <v>45894.0</v>
      </c>
      <c r="B50" s="6" t="s">
        <v>8</v>
      </c>
      <c r="C50" s="7">
        <v>4.0</v>
      </c>
      <c r="D50" s="7">
        <v>0.5</v>
      </c>
      <c r="E50" s="7">
        <v>2.8</v>
      </c>
      <c r="F50" s="7">
        <v>4.0</v>
      </c>
      <c r="H50" s="8">
        <f t="shared" si="1"/>
        <v>11.3</v>
      </c>
      <c r="I50" s="8">
        <f>H50+H51</f>
        <v>17.9</v>
      </c>
    </row>
    <row r="51" ht="15.75" customHeight="1">
      <c r="A51" s="9"/>
      <c r="B51" s="6" t="s">
        <v>9</v>
      </c>
      <c r="C51" s="7">
        <v>0.0</v>
      </c>
      <c r="D51" s="7">
        <v>2.4</v>
      </c>
      <c r="E51" s="7">
        <v>0.0</v>
      </c>
      <c r="F51" s="7">
        <v>4.2</v>
      </c>
      <c r="H51" s="8">
        <f t="shared" si="1"/>
        <v>6.6</v>
      </c>
    </row>
    <row r="52" ht="15.75" customHeight="1">
      <c r="A52" s="13">
        <v>45895.0</v>
      </c>
      <c r="B52" s="6" t="s">
        <v>8</v>
      </c>
      <c r="C52" s="7">
        <v>2.8</v>
      </c>
      <c r="D52" s="7">
        <v>2.5</v>
      </c>
      <c r="E52" s="7">
        <v>1.0</v>
      </c>
      <c r="F52" s="7">
        <v>5.0</v>
      </c>
      <c r="H52" s="8">
        <f t="shared" si="1"/>
        <v>11.3</v>
      </c>
      <c r="I52" s="8">
        <f>H52+H53</f>
        <v>19.7</v>
      </c>
    </row>
    <row r="53" ht="15.75" customHeight="1">
      <c r="A53" s="9"/>
      <c r="B53" s="6" t="s">
        <v>9</v>
      </c>
      <c r="C53" s="7">
        <v>1.0</v>
      </c>
      <c r="D53" s="7">
        <v>0.5</v>
      </c>
      <c r="E53" s="7">
        <v>3.0</v>
      </c>
      <c r="F53" s="7">
        <v>3.9</v>
      </c>
      <c r="H53" s="8">
        <f t="shared" si="1"/>
        <v>8.4</v>
      </c>
    </row>
    <row r="54" ht="15.75" customHeight="1">
      <c r="A54" s="13">
        <v>45896.0</v>
      </c>
      <c r="B54" s="6" t="s">
        <v>8</v>
      </c>
      <c r="C54" s="7">
        <v>2.8</v>
      </c>
      <c r="D54" s="7">
        <v>0.5</v>
      </c>
      <c r="E54" s="7">
        <v>3.0</v>
      </c>
      <c r="F54" s="7">
        <v>4.7</v>
      </c>
      <c r="H54" s="8">
        <f t="shared" si="1"/>
        <v>11</v>
      </c>
      <c r="I54" s="8">
        <f>H54+H55</f>
        <v>19.5</v>
      </c>
    </row>
    <row r="55" ht="15.75" customHeight="1">
      <c r="A55" s="9"/>
      <c r="B55" s="6" t="s">
        <v>9</v>
      </c>
      <c r="C55" s="7">
        <v>1.5</v>
      </c>
      <c r="D55" s="7">
        <v>0.5</v>
      </c>
      <c r="E55" s="7">
        <v>3.0</v>
      </c>
      <c r="F55" s="7">
        <v>3.5</v>
      </c>
      <c r="H55" s="8">
        <f t="shared" si="1"/>
        <v>8.5</v>
      </c>
    </row>
    <row r="56" ht="15.75" customHeight="1">
      <c r="A56" s="13">
        <v>45897.0</v>
      </c>
      <c r="B56" s="6" t="s">
        <v>8</v>
      </c>
      <c r="C56" s="7">
        <v>2.7</v>
      </c>
      <c r="D56" s="7">
        <v>0.4</v>
      </c>
      <c r="E56" s="7">
        <v>3.0</v>
      </c>
      <c r="F56" s="7">
        <v>4.0</v>
      </c>
      <c r="H56" s="8">
        <f t="shared" si="1"/>
        <v>10.1</v>
      </c>
      <c r="I56" s="8">
        <f>H56+H57</f>
        <v>18</v>
      </c>
    </row>
    <row r="57" ht="15.75" customHeight="1">
      <c r="A57" s="9"/>
      <c r="B57" s="6" t="s">
        <v>9</v>
      </c>
      <c r="C57" s="7">
        <v>1.5</v>
      </c>
      <c r="D57" s="7">
        <v>0.7</v>
      </c>
      <c r="E57" s="7">
        <v>2.7</v>
      </c>
      <c r="F57" s="7">
        <v>3.0</v>
      </c>
      <c r="H57" s="8">
        <f t="shared" si="1"/>
        <v>7.9</v>
      </c>
    </row>
    <row r="58" ht="15.75" customHeight="1">
      <c r="A58" s="13">
        <v>45898.0</v>
      </c>
      <c r="B58" s="6" t="s">
        <v>8</v>
      </c>
      <c r="C58" s="7">
        <v>3.0</v>
      </c>
      <c r="D58" s="7">
        <v>0.5</v>
      </c>
      <c r="E58" s="7">
        <v>3.3</v>
      </c>
      <c r="F58" s="7">
        <v>3.4</v>
      </c>
      <c r="H58" s="8">
        <f t="shared" si="1"/>
        <v>10.2</v>
      </c>
      <c r="I58" s="8">
        <f>H58+H59</f>
        <v>19.1</v>
      </c>
    </row>
    <row r="59" ht="15.75" customHeight="1">
      <c r="A59" s="9"/>
      <c r="B59" s="6" t="s">
        <v>9</v>
      </c>
      <c r="C59" s="7">
        <v>2.7</v>
      </c>
      <c r="D59" s="7">
        <v>0.4</v>
      </c>
      <c r="E59" s="7">
        <v>3.0</v>
      </c>
      <c r="F59" s="7">
        <v>2.8</v>
      </c>
      <c r="H59" s="8">
        <f t="shared" si="1"/>
        <v>8.9</v>
      </c>
    </row>
    <row r="60" ht="15.75" customHeight="1">
      <c r="A60" s="13">
        <v>45899.0</v>
      </c>
      <c r="B60" s="6" t="s">
        <v>8</v>
      </c>
      <c r="C60" s="7">
        <v>5.0</v>
      </c>
      <c r="D60" s="7">
        <v>0.5</v>
      </c>
      <c r="E60" s="7">
        <v>3.0</v>
      </c>
      <c r="F60" s="7">
        <v>3.5</v>
      </c>
      <c r="H60" s="8">
        <f t="shared" si="1"/>
        <v>12</v>
      </c>
      <c r="I60" s="8">
        <f>H60+H61</f>
        <v>20.9</v>
      </c>
    </row>
    <row r="61" ht="15.75" customHeight="1">
      <c r="A61" s="9"/>
      <c r="B61" s="6" t="s">
        <v>9</v>
      </c>
      <c r="C61" s="7">
        <v>2.6</v>
      </c>
      <c r="D61" s="7">
        <v>0.5</v>
      </c>
      <c r="E61" s="7">
        <v>2.8</v>
      </c>
      <c r="F61" s="7">
        <v>3.0</v>
      </c>
      <c r="H61" s="8">
        <f t="shared" si="1"/>
        <v>8.9</v>
      </c>
    </row>
    <row r="62" ht="15.75" customHeight="1">
      <c r="A62" s="13">
        <v>45900.0</v>
      </c>
      <c r="B62" s="6" t="s">
        <v>8</v>
      </c>
      <c r="C62" s="7">
        <v>4.0</v>
      </c>
      <c r="D62" s="7">
        <v>0.0</v>
      </c>
      <c r="E62" s="7">
        <v>2.7</v>
      </c>
      <c r="F62" s="7">
        <v>3.7</v>
      </c>
      <c r="H62" s="8">
        <f t="shared" si="1"/>
        <v>10.4</v>
      </c>
      <c r="I62" s="8">
        <f>H62+H63</f>
        <v>17.6</v>
      </c>
    </row>
    <row r="63" ht="15.75" customHeight="1">
      <c r="A63" s="9"/>
      <c r="B63" s="6" t="s">
        <v>9</v>
      </c>
      <c r="C63" s="7">
        <v>2.5</v>
      </c>
      <c r="E63" s="7">
        <v>2.7</v>
      </c>
      <c r="F63" s="7">
        <v>2.0</v>
      </c>
      <c r="H63" s="8">
        <f t="shared" si="1"/>
        <v>7.2</v>
      </c>
    </row>
    <row r="64" ht="15.75" customHeight="1"/>
    <row r="65" ht="15.75" customHeight="1">
      <c r="A65" s="10"/>
    </row>
    <row r="66" ht="15.75" customHeight="1"/>
    <row r="67" ht="15.75" customHeight="1">
      <c r="A67" s="10"/>
    </row>
    <row r="68" ht="15.75" customHeight="1"/>
    <row r="69" ht="15.75" customHeight="1">
      <c r="A69" s="10"/>
    </row>
    <row r="70" ht="15.75" customHeight="1"/>
    <row r="71" ht="15.75" customHeight="1">
      <c r="A71" s="10"/>
    </row>
    <row r="72" ht="15.75" customHeight="1"/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65:A66"/>
    <mergeCell ref="A67:A68"/>
    <mergeCell ref="A69:A70"/>
    <mergeCell ref="A71:A72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701.1</v>
      </c>
    </row>
    <row r="4">
      <c r="A4" s="7" t="s">
        <v>2</v>
      </c>
      <c r="B4" s="8">
        <f>SUM(August!C2:C63)</f>
        <v>216.7</v>
      </c>
    </row>
    <row r="5">
      <c r="A5" s="7" t="s">
        <v>3</v>
      </c>
      <c r="B5" s="8">
        <f>SUM(August!D2:D63)</f>
        <v>93.1</v>
      </c>
    </row>
    <row r="6">
      <c r="A6" s="7" t="s">
        <v>4</v>
      </c>
      <c r="B6" s="8">
        <f>SUM(August!E2:E63)</f>
        <v>144</v>
      </c>
    </row>
    <row r="7">
      <c r="A7" s="7" t="s">
        <v>5</v>
      </c>
      <c r="B7" s="8">
        <f>sum(August!F2:F63)</f>
        <v>247.3</v>
      </c>
    </row>
    <row r="8">
      <c r="A8" s="7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8" width="14.86"/>
    <col customWidth="1" min="9" max="9" width="17.71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2" t="s">
        <v>6</v>
      </c>
      <c r="I1" s="3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45901.0</v>
      </c>
      <c r="B2" s="6" t="s">
        <v>8</v>
      </c>
      <c r="C2" s="7">
        <v>4.3</v>
      </c>
      <c r="D2" s="7">
        <v>0.7</v>
      </c>
      <c r="E2" s="7">
        <v>3.2</v>
      </c>
      <c r="F2" s="7">
        <v>3.0</v>
      </c>
      <c r="H2" s="8">
        <f t="shared" ref="H2:H63" si="1">SUM(C2:F2)</f>
        <v>11.2</v>
      </c>
      <c r="I2" s="8">
        <f>H2+H3</f>
        <v>19.2</v>
      </c>
    </row>
    <row r="3">
      <c r="A3" s="9"/>
      <c r="B3" s="6" t="s">
        <v>9</v>
      </c>
      <c r="C3" s="7">
        <v>3.2</v>
      </c>
      <c r="D3" s="7"/>
      <c r="E3" s="7">
        <v>2.4</v>
      </c>
      <c r="F3" s="7">
        <v>2.4</v>
      </c>
      <c r="H3" s="8">
        <f t="shared" si="1"/>
        <v>8</v>
      </c>
    </row>
    <row r="4">
      <c r="A4" s="13">
        <v>45902.0</v>
      </c>
      <c r="B4" s="6" t="s">
        <v>8</v>
      </c>
      <c r="C4" s="7">
        <v>4.5</v>
      </c>
      <c r="D4" s="7">
        <v>0.0</v>
      </c>
      <c r="E4" s="7">
        <v>3.0</v>
      </c>
      <c r="F4" s="7">
        <v>3.0</v>
      </c>
      <c r="H4" s="8">
        <f t="shared" si="1"/>
        <v>10.5</v>
      </c>
      <c r="I4" s="8">
        <f>H4+H5</f>
        <v>18.3</v>
      </c>
    </row>
    <row r="5">
      <c r="A5" s="9"/>
      <c r="B5" s="6" t="s">
        <v>9</v>
      </c>
      <c r="C5" s="7">
        <v>2.0</v>
      </c>
      <c r="D5" s="7">
        <v>0.0</v>
      </c>
      <c r="E5" s="7">
        <v>2.8</v>
      </c>
      <c r="F5" s="7">
        <v>3.0</v>
      </c>
      <c r="H5" s="8">
        <f t="shared" si="1"/>
        <v>7.8</v>
      </c>
    </row>
    <row r="6">
      <c r="A6" s="13">
        <v>45903.0</v>
      </c>
      <c r="B6" s="6" t="s">
        <v>8</v>
      </c>
      <c r="C6" s="7">
        <v>4.5</v>
      </c>
      <c r="D6" s="7">
        <v>0.0</v>
      </c>
      <c r="E6" s="7">
        <v>3.0</v>
      </c>
      <c r="F6" s="7">
        <v>3.5</v>
      </c>
      <c r="H6" s="8">
        <f t="shared" si="1"/>
        <v>11</v>
      </c>
      <c r="I6" s="8">
        <f>H6+H7</f>
        <v>19.2</v>
      </c>
    </row>
    <row r="7">
      <c r="A7" s="9"/>
      <c r="B7" s="6" t="s">
        <v>9</v>
      </c>
      <c r="C7" s="7">
        <v>2.5</v>
      </c>
      <c r="D7" s="7">
        <v>0.0</v>
      </c>
      <c r="E7" s="7">
        <v>3.0</v>
      </c>
      <c r="F7" s="7">
        <v>2.7</v>
      </c>
      <c r="H7" s="8">
        <f t="shared" si="1"/>
        <v>8.2</v>
      </c>
    </row>
    <row r="8">
      <c r="A8" s="13">
        <v>45904.0</v>
      </c>
      <c r="B8" s="6" t="s">
        <v>8</v>
      </c>
      <c r="C8" s="7">
        <v>3.5</v>
      </c>
      <c r="D8" s="7">
        <v>0.5</v>
      </c>
      <c r="E8" s="7">
        <v>3.5</v>
      </c>
      <c r="F8" s="7">
        <v>2.5</v>
      </c>
      <c r="H8" s="8">
        <f t="shared" si="1"/>
        <v>10</v>
      </c>
      <c r="I8" s="8">
        <f>H8+H9</f>
        <v>18.3</v>
      </c>
    </row>
    <row r="9">
      <c r="A9" s="9"/>
      <c r="B9" s="6" t="s">
        <v>9</v>
      </c>
      <c r="C9" s="7">
        <v>2.5</v>
      </c>
      <c r="D9" s="7">
        <v>0.0</v>
      </c>
      <c r="E9" s="7">
        <v>2.8</v>
      </c>
      <c r="F9" s="7">
        <v>3.0</v>
      </c>
      <c r="H9" s="8">
        <f t="shared" si="1"/>
        <v>8.3</v>
      </c>
    </row>
    <row r="10">
      <c r="A10" s="13">
        <v>45905.0</v>
      </c>
      <c r="B10" s="6" t="s">
        <v>8</v>
      </c>
      <c r="C10" s="7">
        <v>3.1</v>
      </c>
      <c r="D10" s="7">
        <v>0.0</v>
      </c>
      <c r="E10" s="7">
        <v>3.2</v>
      </c>
      <c r="F10" s="7">
        <v>3.8</v>
      </c>
      <c r="H10" s="8">
        <f t="shared" si="1"/>
        <v>10.1</v>
      </c>
      <c r="I10" s="8">
        <f>H10+H11</f>
        <v>18.4</v>
      </c>
    </row>
    <row r="11">
      <c r="A11" s="9"/>
      <c r="B11" s="6" t="s">
        <v>9</v>
      </c>
      <c r="C11" s="7">
        <v>2.6</v>
      </c>
      <c r="D11" s="7">
        <v>0.0</v>
      </c>
      <c r="E11" s="7">
        <v>2.7</v>
      </c>
      <c r="F11" s="7">
        <v>3.0</v>
      </c>
      <c r="H11" s="8">
        <f t="shared" si="1"/>
        <v>8.3</v>
      </c>
    </row>
    <row r="12">
      <c r="A12" s="13">
        <v>45906.0</v>
      </c>
      <c r="B12" s="6" t="s">
        <v>8</v>
      </c>
      <c r="C12" s="7">
        <v>3.7</v>
      </c>
      <c r="D12" s="7">
        <v>0.0</v>
      </c>
      <c r="E12" s="7">
        <v>3.0</v>
      </c>
      <c r="F12" s="7">
        <v>3.0</v>
      </c>
      <c r="H12" s="8">
        <f t="shared" si="1"/>
        <v>9.7</v>
      </c>
      <c r="I12" s="8">
        <f>H12+H13</f>
        <v>18.4</v>
      </c>
    </row>
    <row r="13">
      <c r="A13" s="9"/>
      <c r="B13" s="6" t="s">
        <v>9</v>
      </c>
      <c r="C13" s="7">
        <v>2.5</v>
      </c>
      <c r="D13" s="7">
        <v>0.0</v>
      </c>
      <c r="E13" s="7">
        <v>3.0</v>
      </c>
      <c r="F13" s="7">
        <v>3.2</v>
      </c>
      <c r="H13" s="8">
        <f t="shared" si="1"/>
        <v>8.7</v>
      </c>
    </row>
    <row r="14">
      <c r="A14" s="13">
        <v>45907.0</v>
      </c>
      <c r="B14" s="6" t="s">
        <v>8</v>
      </c>
      <c r="C14" s="7">
        <v>3.5</v>
      </c>
      <c r="D14" s="7">
        <v>0.0</v>
      </c>
      <c r="E14" s="7">
        <v>3.0</v>
      </c>
      <c r="F14" s="7">
        <v>3.5</v>
      </c>
      <c r="H14" s="8">
        <f t="shared" si="1"/>
        <v>10</v>
      </c>
      <c r="I14" s="8">
        <f>H14+H15</f>
        <v>19.3</v>
      </c>
    </row>
    <row r="15">
      <c r="A15" s="9"/>
      <c r="B15" s="6" t="s">
        <v>9</v>
      </c>
      <c r="C15" s="7">
        <v>3.0</v>
      </c>
      <c r="D15" s="7">
        <v>0.5</v>
      </c>
      <c r="E15" s="7">
        <v>2.9</v>
      </c>
      <c r="F15" s="7">
        <v>2.9</v>
      </c>
      <c r="H15" s="8">
        <f t="shared" si="1"/>
        <v>9.3</v>
      </c>
    </row>
    <row r="16">
      <c r="A16" s="13">
        <v>45908.0</v>
      </c>
      <c r="B16" s="6" t="s">
        <v>8</v>
      </c>
      <c r="C16" s="7">
        <v>3.7</v>
      </c>
      <c r="D16" s="7">
        <v>0.0</v>
      </c>
      <c r="E16" s="7">
        <v>3.0</v>
      </c>
      <c r="F16" s="7">
        <v>3.5</v>
      </c>
      <c r="H16" s="8">
        <f t="shared" si="1"/>
        <v>10.2</v>
      </c>
      <c r="I16" s="8">
        <f>H16+H17</f>
        <v>19.2</v>
      </c>
    </row>
    <row r="17">
      <c r="A17" s="9"/>
      <c r="B17" s="6" t="s">
        <v>9</v>
      </c>
      <c r="C17" s="7">
        <v>3.0</v>
      </c>
      <c r="D17" s="7">
        <v>0.0</v>
      </c>
      <c r="E17" s="7">
        <v>3.0</v>
      </c>
      <c r="F17" s="7">
        <v>3.0</v>
      </c>
      <c r="H17" s="8">
        <f t="shared" si="1"/>
        <v>9</v>
      </c>
    </row>
    <row r="18">
      <c r="A18" s="13">
        <v>45909.0</v>
      </c>
      <c r="B18" s="6" t="s">
        <v>8</v>
      </c>
      <c r="C18" s="7">
        <v>3.5</v>
      </c>
      <c r="D18" s="7">
        <v>0.0</v>
      </c>
      <c r="E18" s="7">
        <v>3.0</v>
      </c>
      <c r="F18" s="7">
        <v>3.2</v>
      </c>
      <c r="H18" s="8">
        <f t="shared" si="1"/>
        <v>9.7</v>
      </c>
      <c r="I18" s="8">
        <f>H18+H19</f>
        <v>16.2</v>
      </c>
    </row>
    <row r="19">
      <c r="A19" s="9"/>
      <c r="B19" s="6" t="s">
        <v>9</v>
      </c>
      <c r="C19" s="7">
        <v>1.5</v>
      </c>
      <c r="D19" s="7">
        <v>0.0</v>
      </c>
      <c r="E19" s="7">
        <v>2.5</v>
      </c>
      <c r="F19" s="7">
        <v>2.5</v>
      </c>
      <c r="H19" s="8">
        <f t="shared" si="1"/>
        <v>6.5</v>
      </c>
    </row>
    <row r="20">
      <c r="A20" s="13">
        <v>45910.0</v>
      </c>
      <c r="B20" s="6" t="s">
        <v>8</v>
      </c>
      <c r="C20" s="7">
        <v>4.4</v>
      </c>
      <c r="D20" s="7">
        <v>0.0</v>
      </c>
      <c r="E20" s="7">
        <v>3.0</v>
      </c>
      <c r="F20" s="7">
        <v>4.0</v>
      </c>
      <c r="H20" s="8">
        <f t="shared" si="1"/>
        <v>11.4</v>
      </c>
      <c r="I20" s="8">
        <f>H20+H21</f>
        <v>21.9</v>
      </c>
    </row>
    <row r="21" ht="15.75" customHeight="1">
      <c r="A21" s="9"/>
      <c r="B21" s="6" t="s">
        <v>9</v>
      </c>
      <c r="C21" s="7">
        <v>3.5</v>
      </c>
      <c r="D21" s="7">
        <v>0.0</v>
      </c>
      <c r="E21" s="7">
        <v>3.5</v>
      </c>
      <c r="F21" s="7">
        <v>3.5</v>
      </c>
      <c r="H21" s="8">
        <f t="shared" si="1"/>
        <v>10.5</v>
      </c>
    </row>
    <row r="22" ht="15.75" customHeight="1">
      <c r="A22" s="13">
        <v>45911.0</v>
      </c>
      <c r="B22" s="6" t="s">
        <v>8</v>
      </c>
      <c r="C22" s="7">
        <v>3.9</v>
      </c>
      <c r="D22" s="7">
        <v>0.0</v>
      </c>
      <c r="E22" s="7">
        <v>3.5</v>
      </c>
      <c r="F22" s="7">
        <v>3.5</v>
      </c>
      <c r="H22" s="8">
        <f t="shared" si="1"/>
        <v>10.9</v>
      </c>
      <c r="I22" s="8">
        <f>H22+H23</f>
        <v>21.3</v>
      </c>
    </row>
    <row r="23" ht="15.75" customHeight="1">
      <c r="A23" s="9"/>
      <c r="B23" s="6" t="s">
        <v>9</v>
      </c>
      <c r="C23" s="7">
        <v>3.4</v>
      </c>
      <c r="E23" s="7">
        <v>3.0</v>
      </c>
      <c r="F23" s="7">
        <v>4.0</v>
      </c>
      <c r="H23" s="8">
        <f t="shared" si="1"/>
        <v>10.4</v>
      </c>
    </row>
    <row r="24" ht="15.75" customHeight="1">
      <c r="A24" s="13">
        <v>45912.0</v>
      </c>
      <c r="B24" s="6" t="s">
        <v>8</v>
      </c>
      <c r="C24" s="7">
        <v>2.2</v>
      </c>
      <c r="E24" s="7">
        <v>3.0</v>
      </c>
      <c r="F24" s="7">
        <v>4.0</v>
      </c>
      <c r="H24" s="8">
        <f t="shared" si="1"/>
        <v>9.2</v>
      </c>
      <c r="I24" s="8">
        <f>H24+H25</f>
        <v>19.7</v>
      </c>
    </row>
    <row r="25" ht="15.75" customHeight="1">
      <c r="A25" s="9"/>
      <c r="B25" s="6" t="s">
        <v>9</v>
      </c>
      <c r="C25" s="7">
        <v>3.5</v>
      </c>
      <c r="E25" s="7">
        <v>3.0</v>
      </c>
      <c r="F25" s="7">
        <v>4.0</v>
      </c>
      <c r="H25" s="8">
        <f t="shared" si="1"/>
        <v>10.5</v>
      </c>
    </row>
    <row r="26" ht="15.75" customHeight="1">
      <c r="A26" s="13">
        <v>45913.0</v>
      </c>
      <c r="B26" s="6" t="s">
        <v>8</v>
      </c>
      <c r="C26" s="7">
        <v>4.0</v>
      </c>
      <c r="E26" s="7">
        <v>3.0</v>
      </c>
      <c r="F26" s="7">
        <v>4.0</v>
      </c>
      <c r="H26" s="8">
        <f t="shared" si="1"/>
        <v>11</v>
      </c>
      <c r="I26" s="8">
        <f>H26+H27</f>
        <v>17.5</v>
      </c>
    </row>
    <row r="27" ht="15.75" customHeight="1">
      <c r="A27" s="9"/>
      <c r="B27" s="6" t="s">
        <v>9</v>
      </c>
      <c r="C27" s="7">
        <v>1.0</v>
      </c>
      <c r="E27" s="7">
        <v>2.0</v>
      </c>
      <c r="F27" s="7">
        <v>3.5</v>
      </c>
      <c r="H27" s="8">
        <f t="shared" si="1"/>
        <v>6.5</v>
      </c>
    </row>
    <row r="28" ht="15.75" customHeight="1">
      <c r="A28" s="13">
        <v>45914.0</v>
      </c>
      <c r="B28" s="6" t="s">
        <v>8</v>
      </c>
      <c r="C28" s="7">
        <v>4.0</v>
      </c>
      <c r="E28" s="7">
        <v>3.5</v>
      </c>
      <c r="F28" s="7">
        <v>4.5</v>
      </c>
      <c r="H28" s="8">
        <f t="shared" si="1"/>
        <v>12</v>
      </c>
      <c r="I28" s="8">
        <f>H28+H29</f>
        <v>22.1</v>
      </c>
    </row>
    <row r="29" ht="15.75" customHeight="1">
      <c r="A29" s="9"/>
      <c r="B29" s="6" t="s">
        <v>9</v>
      </c>
      <c r="C29" s="7">
        <v>3.5</v>
      </c>
      <c r="E29" s="7">
        <v>3.3</v>
      </c>
      <c r="F29" s="7">
        <v>3.3</v>
      </c>
      <c r="H29" s="8">
        <f t="shared" si="1"/>
        <v>10.1</v>
      </c>
    </row>
    <row r="30" ht="15.75" customHeight="1">
      <c r="A30" s="13">
        <v>45915.0</v>
      </c>
      <c r="B30" s="6" t="s">
        <v>8</v>
      </c>
      <c r="C30" s="7">
        <v>4.0</v>
      </c>
      <c r="E30" s="7">
        <v>3.5</v>
      </c>
      <c r="F30" s="7">
        <v>3.5</v>
      </c>
      <c r="H30" s="8">
        <f t="shared" si="1"/>
        <v>11</v>
      </c>
      <c r="I30" s="8">
        <f>H30+H31</f>
        <v>18.5</v>
      </c>
    </row>
    <row r="31" ht="15.75" customHeight="1">
      <c r="A31" s="9"/>
      <c r="B31" s="6" t="s">
        <v>9</v>
      </c>
      <c r="C31" s="7">
        <v>2.5</v>
      </c>
      <c r="E31" s="7">
        <v>1.5</v>
      </c>
      <c r="F31" s="7">
        <v>3.5</v>
      </c>
      <c r="H31" s="8">
        <f t="shared" si="1"/>
        <v>7.5</v>
      </c>
    </row>
    <row r="32" ht="15.75" customHeight="1">
      <c r="A32" s="13">
        <v>45916.0</v>
      </c>
      <c r="B32" s="6" t="s">
        <v>8</v>
      </c>
      <c r="C32" s="7">
        <v>4.1</v>
      </c>
      <c r="E32" s="7">
        <v>2.6</v>
      </c>
      <c r="F32" s="7">
        <v>3.5</v>
      </c>
      <c r="H32" s="8">
        <f t="shared" si="1"/>
        <v>10.2</v>
      </c>
      <c r="I32" s="8">
        <f>H32+H33</f>
        <v>20.9</v>
      </c>
    </row>
    <row r="33" ht="15.75" customHeight="1">
      <c r="A33" s="9"/>
      <c r="B33" s="6" t="s">
        <v>9</v>
      </c>
      <c r="C33" s="7">
        <v>3.5</v>
      </c>
      <c r="E33" s="7">
        <v>3.5</v>
      </c>
      <c r="F33" s="7">
        <v>3.7</v>
      </c>
      <c r="H33" s="8">
        <f t="shared" si="1"/>
        <v>10.7</v>
      </c>
    </row>
    <row r="34" ht="15.75" customHeight="1">
      <c r="A34" s="13">
        <v>45917.0</v>
      </c>
      <c r="B34" s="6" t="s">
        <v>8</v>
      </c>
      <c r="C34" s="7">
        <v>3.5</v>
      </c>
      <c r="E34" s="7">
        <v>1.5</v>
      </c>
      <c r="F34" s="7">
        <v>1.0</v>
      </c>
      <c r="H34" s="8">
        <f t="shared" si="1"/>
        <v>6</v>
      </c>
      <c r="I34" s="8">
        <f>H34+H35</f>
        <v>16</v>
      </c>
    </row>
    <row r="35" ht="15.75" customHeight="1">
      <c r="A35" s="9"/>
      <c r="B35" s="6" t="s">
        <v>9</v>
      </c>
      <c r="C35" s="7">
        <v>4.0</v>
      </c>
      <c r="E35" s="7">
        <v>2.5</v>
      </c>
      <c r="F35" s="7">
        <v>3.5</v>
      </c>
      <c r="H35" s="8">
        <f t="shared" si="1"/>
        <v>10</v>
      </c>
    </row>
    <row r="36" ht="15.75" customHeight="1">
      <c r="A36" s="13">
        <v>45918.0</v>
      </c>
      <c r="B36" s="6" t="s">
        <v>8</v>
      </c>
      <c r="C36" s="7">
        <v>4.5</v>
      </c>
      <c r="E36" s="7">
        <v>2.2</v>
      </c>
      <c r="F36" s="7">
        <v>4.0</v>
      </c>
      <c r="H36" s="8">
        <f t="shared" si="1"/>
        <v>10.7</v>
      </c>
      <c r="I36" s="8">
        <f>H36+H37</f>
        <v>19.6</v>
      </c>
    </row>
    <row r="37" ht="15.75" customHeight="1">
      <c r="A37" s="9"/>
      <c r="B37" s="6" t="s">
        <v>9</v>
      </c>
      <c r="C37" s="7">
        <v>3.5</v>
      </c>
      <c r="E37" s="7">
        <v>2.2</v>
      </c>
      <c r="F37" s="7">
        <v>3.2</v>
      </c>
      <c r="H37" s="8">
        <f t="shared" si="1"/>
        <v>8.9</v>
      </c>
    </row>
    <row r="38" ht="15.75" customHeight="1">
      <c r="A38" s="13">
        <v>45919.0</v>
      </c>
      <c r="B38" s="6" t="s">
        <v>8</v>
      </c>
      <c r="C38" s="7">
        <v>3.5</v>
      </c>
      <c r="E38" s="7">
        <v>1.7</v>
      </c>
      <c r="F38" s="7">
        <v>3.9</v>
      </c>
      <c r="H38" s="8">
        <f t="shared" si="1"/>
        <v>9.1</v>
      </c>
      <c r="I38" s="8">
        <f>H38+H39</f>
        <v>18</v>
      </c>
    </row>
    <row r="39" ht="15.75" customHeight="1">
      <c r="A39" s="9"/>
      <c r="B39" s="6" t="s">
        <v>9</v>
      </c>
      <c r="C39" s="7">
        <v>4.0</v>
      </c>
      <c r="E39" s="7">
        <v>1.9</v>
      </c>
      <c r="F39" s="7">
        <v>3.0</v>
      </c>
      <c r="H39" s="8">
        <f t="shared" si="1"/>
        <v>8.9</v>
      </c>
    </row>
    <row r="40" ht="15.75" customHeight="1">
      <c r="A40" s="13">
        <v>45920.0</v>
      </c>
      <c r="B40" s="6" t="s">
        <v>8</v>
      </c>
      <c r="C40" s="7">
        <v>3.2</v>
      </c>
      <c r="E40" s="7">
        <v>1.2</v>
      </c>
      <c r="F40" s="7">
        <v>3.4</v>
      </c>
      <c r="H40" s="8">
        <f t="shared" si="1"/>
        <v>7.8</v>
      </c>
      <c r="I40" s="8">
        <f>H40+H41</f>
        <v>16.6</v>
      </c>
    </row>
    <row r="41" ht="15.75" customHeight="1">
      <c r="A41" s="9"/>
      <c r="B41" s="6" t="s">
        <v>9</v>
      </c>
      <c r="C41" s="7">
        <v>3.4</v>
      </c>
      <c r="E41" s="7">
        <v>2.4</v>
      </c>
      <c r="F41" s="7">
        <v>3.0</v>
      </c>
      <c r="H41" s="8">
        <f t="shared" si="1"/>
        <v>8.8</v>
      </c>
    </row>
    <row r="42" ht="15.75" customHeight="1">
      <c r="A42" s="13">
        <v>45921.0</v>
      </c>
      <c r="B42" s="6" t="s">
        <v>8</v>
      </c>
      <c r="C42" s="7">
        <v>3.9</v>
      </c>
      <c r="E42" s="7">
        <v>3.0</v>
      </c>
      <c r="F42" s="7">
        <v>3.5</v>
      </c>
      <c r="H42" s="8">
        <f t="shared" si="1"/>
        <v>10.4</v>
      </c>
      <c r="I42" s="8">
        <f>H42+H43</f>
        <v>18.6</v>
      </c>
    </row>
    <row r="43" ht="15.75" customHeight="1">
      <c r="A43" s="9"/>
      <c r="B43" s="6" t="s">
        <v>9</v>
      </c>
      <c r="C43" s="7">
        <v>3.4</v>
      </c>
      <c r="E43" s="7">
        <v>1.8</v>
      </c>
      <c r="F43" s="7">
        <v>3.0</v>
      </c>
      <c r="H43" s="8">
        <f t="shared" si="1"/>
        <v>8.2</v>
      </c>
    </row>
    <row r="44" ht="15.75" customHeight="1">
      <c r="A44" s="13">
        <v>45922.0</v>
      </c>
      <c r="B44" s="6" t="s">
        <v>8</v>
      </c>
      <c r="C44" s="7">
        <v>4.0</v>
      </c>
      <c r="E44" s="7">
        <v>2.0</v>
      </c>
      <c r="F44" s="7">
        <v>4.0</v>
      </c>
      <c r="H44" s="8">
        <f t="shared" si="1"/>
        <v>10</v>
      </c>
      <c r="I44" s="8">
        <f>H44+H45</f>
        <v>19</v>
      </c>
    </row>
    <row r="45" ht="15.75" customHeight="1">
      <c r="A45" s="9"/>
      <c r="B45" s="6" t="s">
        <v>9</v>
      </c>
      <c r="C45" s="7">
        <v>3.5</v>
      </c>
      <c r="E45" s="7">
        <v>2.5</v>
      </c>
      <c r="F45" s="7">
        <v>3.0</v>
      </c>
      <c r="H45" s="8">
        <f t="shared" si="1"/>
        <v>9</v>
      </c>
    </row>
    <row r="46" ht="15.75" customHeight="1">
      <c r="A46" s="13">
        <v>45923.0</v>
      </c>
      <c r="B46" s="6" t="s">
        <v>8</v>
      </c>
      <c r="C46" s="7">
        <v>3.9</v>
      </c>
      <c r="E46" s="7">
        <v>2.4</v>
      </c>
      <c r="F46" s="7">
        <v>3.9</v>
      </c>
      <c r="H46" s="8">
        <f t="shared" si="1"/>
        <v>10.2</v>
      </c>
      <c r="I46" s="8">
        <f>H46+H47</f>
        <v>16.7</v>
      </c>
    </row>
    <row r="47" ht="15.75" customHeight="1">
      <c r="A47" s="9"/>
      <c r="B47" s="6" t="s">
        <v>9</v>
      </c>
      <c r="C47" s="7">
        <v>3.5</v>
      </c>
      <c r="E47" s="7">
        <v>0.0</v>
      </c>
      <c r="F47" s="7">
        <v>3.0</v>
      </c>
      <c r="H47" s="8">
        <f t="shared" si="1"/>
        <v>6.5</v>
      </c>
    </row>
    <row r="48" ht="15.75" customHeight="1">
      <c r="A48" s="13">
        <v>45924.0</v>
      </c>
      <c r="B48" s="6" t="s">
        <v>8</v>
      </c>
      <c r="C48" s="7">
        <v>3.9</v>
      </c>
      <c r="E48" s="7">
        <v>2.0</v>
      </c>
      <c r="F48" s="7">
        <v>3.2</v>
      </c>
      <c r="H48" s="8">
        <f t="shared" si="1"/>
        <v>9.1</v>
      </c>
      <c r="I48" s="8">
        <f>H48+H49</f>
        <v>17.3</v>
      </c>
    </row>
    <row r="49" ht="15.75" customHeight="1">
      <c r="A49" s="9"/>
      <c r="B49" s="6" t="s">
        <v>9</v>
      </c>
      <c r="C49" s="7">
        <v>3.5</v>
      </c>
      <c r="E49" s="7">
        <v>1.7</v>
      </c>
      <c r="F49" s="7">
        <v>3.0</v>
      </c>
      <c r="H49" s="8">
        <f t="shared" si="1"/>
        <v>8.2</v>
      </c>
    </row>
    <row r="50" ht="15.75" customHeight="1">
      <c r="A50" s="13">
        <v>45925.0</v>
      </c>
      <c r="B50" s="6" t="s">
        <v>8</v>
      </c>
      <c r="C50" s="7">
        <v>3.4</v>
      </c>
      <c r="E50" s="7">
        <v>1.8</v>
      </c>
      <c r="F50" s="7">
        <v>3.0</v>
      </c>
      <c r="H50" s="8">
        <f t="shared" si="1"/>
        <v>8.2</v>
      </c>
      <c r="I50" s="8">
        <f>H50+H51</f>
        <v>16.6</v>
      </c>
    </row>
    <row r="51" ht="15.75" customHeight="1">
      <c r="A51" s="9"/>
      <c r="B51" s="6" t="s">
        <v>9</v>
      </c>
      <c r="C51" s="7">
        <v>2.9</v>
      </c>
      <c r="E51" s="7">
        <v>1.5</v>
      </c>
      <c r="F51" s="7">
        <v>4.0</v>
      </c>
      <c r="H51" s="8">
        <f t="shared" si="1"/>
        <v>8.4</v>
      </c>
    </row>
    <row r="52" ht="15.75" customHeight="1">
      <c r="A52" s="13">
        <v>45926.0</v>
      </c>
      <c r="B52" s="6" t="s">
        <v>8</v>
      </c>
      <c r="C52" s="7">
        <v>3.5</v>
      </c>
      <c r="E52" s="7">
        <v>1.0</v>
      </c>
      <c r="F52" s="7">
        <v>3.0</v>
      </c>
      <c r="H52" s="8">
        <f t="shared" si="1"/>
        <v>7.5</v>
      </c>
      <c r="I52" s="8">
        <f>H51+H52</f>
        <v>15.9</v>
      </c>
    </row>
    <row r="53" ht="15.75" customHeight="1">
      <c r="A53" s="9"/>
      <c r="B53" s="6" t="s">
        <v>9</v>
      </c>
      <c r="C53" s="7">
        <v>3.5</v>
      </c>
      <c r="E53" s="7">
        <v>1.5</v>
      </c>
      <c r="F53" s="7">
        <v>2.8</v>
      </c>
      <c r="H53" s="8">
        <f t="shared" si="1"/>
        <v>7.8</v>
      </c>
    </row>
    <row r="54" ht="15.75" customHeight="1">
      <c r="A54" s="13">
        <v>45927.0</v>
      </c>
      <c r="B54" s="6" t="s">
        <v>8</v>
      </c>
      <c r="C54" s="7">
        <v>4.0</v>
      </c>
      <c r="E54" s="7">
        <v>1.5</v>
      </c>
      <c r="F54" s="7">
        <v>3.4</v>
      </c>
      <c r="H54" s="8">
        <f t="shared" si="1"/>
        <v>8.9</v>
      </c>
      <c r="I54" s="8">
        <f>H54+H55</f>
        <v>12.9</v>
      </c>
    </row>
    <row r="55" ht="15.75" customHeight="1">
      <c r="A55" s="9"/>
      <c r="B55" s="6" t="s">
        <v>9</v>
      </c>
      <c r="C55" s="7">
        <v>0.0</v>
      </c>
      <c r="E55" s="7">
        <v>1.0</v>
      </c>
      <c r="F55" s="7">
        <v>3.0</v>
      </c>
      <c r="H55" s="8">
        <f t="shared" si="1"/>
        <v>4</v>
      </c>
    </row>
    <row r="56" ht="15.75" customHeight="1">
      <c r="A56" s="13">
        <v>45928.0</v>
      </c>
      <c r="B56" s="6" t="s">
        <v>8</v>
      </c>
      <c r="C56" s="7">
        <v>4.0</v>
      </c>
      <c r="E56" s="7">
        <v>1.5</v>
      </c>
      <c r="F56" s="7">
        <v>3.5</v>
      </c>
      <c r="H56" s="8">
        <f t="shared" si="1"/>
        <v>9</v>
      </c>
      <c r="I56" s="8">
        <f>H56+H57</f>
        <v>15</v>
      </c>
    </row>
    <row r="57" ht="15.75" customHeight="1">
      <c r="A57" s="9"/>
      <c r="B57" s="6" t="s">
        <v>9</v>
      </c>
      <c r="C57" s="7">
        <v>3.5</v>
      </c>
      <c r="E57" s="7">
        <v>0.0</v>
      </c>
      <c r="F57" s="7">
        <v>2.5</v>
      </c>
      <c r="H57" s="8">
        <f t="shared" si="1"/>
        <v>6</v>
      </c>
    </row>
    <row r="58" ht="15.75" customHeight="1">
      <c r="A58" s="13">
        <v>45929.0</v>
      </c>
      <c r="B58" s="6" t="s">
        <v>8</v>
      </c>
      <c r="C58" s="7">
        <v>3.8</v>
      </c>
      <c r="E58" s="7">
        <v>2.0</v>
      </c>
      <c r="F58" s="7">
        <v>3.5</v>
      </c>
      <c r="H58" s="8">
        <f t="shared" si="1"/>
        <v>9.3</v>
      </c>
      <c r="I58" s="8">
        <f>H58+H59</f>
        <v>16.6</v>
      </c>
    </row>
    <row r="59" ht="15.75" customHeight="1">
      <c r="A59" s="9"/>
      <c r="B59" s="6" t="s">
        <v>9</v>
      </c>
      <c r="C59" s="7">
        <v>3.8</v>
      </c>
      <c r="E59" s="7">
        <v>1.0</v>
      </c>
      <c r="F59" s="7">
        <v>2.5</v>
      </c>
      <c r="H59" s="8">
        <f t="shared" si="1"/>
        <v>7.3</v>
      </c>
    </row>
    <row r="60" ht="15.75" customHeight="1">
      <c r="A60" s="13">
        <v>45930.0</v>
      </c>
      <c r="B60" s="6" t="s">
        <v>8</v>
      </c>
      <c r="C60" s="7">
        <v>3.8</v>
      </c>
      <c r="E60" s="7">
        <v>1.0</v>
      </c>
      <c r="F60" s="7" t="s">
        <v>37</v>
      </c>
      <c r="H60" s="8">
        <f t="shared" si="1"/>
        <v>4.8</v>
      </c>
      <c r="I60" s="8">
        <f>H60+H61</f>
        <v>12.5</v>
      </c>
    </row>
    <row r="61" ht="15.75" customHeight="1">
      <c r="A61" s="9"/>
      <c r="B61" s="6" t="s">
        <v>9</v>
      </c>
      <c r="C61" s="7">
        <v>3.4</v>
      </c>
      <c r="E61" s="7">
        <v>1.5</v>
      </c>
      <c r="F61" s="7">
        <v>2.8</v>
      </c>
      <c r="H61" s="8">
        <f t="shared" si="1"/>
        <v>7.7</v>
      </c>
    </row>
    <row r="62" ht="15.75" customHeight="1">
      <c r="A62" s="13"/>
      <c r="B62" s="6" t="s">
        <v>8</v>
      </c>
      <c r="H62" s="8">
        <f t="shared" si="1"/>
        <v>0</v>
      </c>
      <c r="I62" s="8">
        <f>H62+H63</f>
        <v>0</v>
      </c>
    </row>
    <row r="63" ht="15.75" customHeight="1">
      <c r="A63" s="9"/>
      <c r="B63" s="6" t="s">
        <v>9</v>
      </c>
      <c r="H63" s="8">
        <f t="shared" si="1"/>
        <v>0</v>
      </c>
    </row>
    <row r="64" ht="15.75" customHeight="1"/>
    <row r="65" ht="15.75" customHeight="1">
      <c r="A65" s="10"/>
    </row>
    <row r="66" ht="15.75" customHeight="1"/>
    <row r="67" ht="15.75" customHeight="1">
      <c r="A67" s="10"/>
    </row>
    <row r="68" ht="15.75" customHeight="1"/>
    <row r="69" ht="15.75" customHeight="1">
      <c r="A69" s="10"/>
    </row>
    <row r="70" ht="15.75" customHeight="1"/>
    <row r="71" ht="15.75" customHeight="1">
      <c r="A71" s="10"/>
    </row>
    <row r="72" ht="15.75" customHeight="1"/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65:A66"/>
    <mergeCell ref="A67:A68"/>
    <mergeCell ref="A69:A70"/>
    <mergeCell ref="A71:A72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539.1</v>
      </c>
    </row>
    <row r="4">
      <c r="A4" s="7" t="s">
        <v>2</v>
      </c>
      <c r="B4" s="8">
        <f>sum('September '!C2:C63)</f>
        <v>203.4</v>
      </c>
    </row>
    <row r="5">
      <c r="A5" s="7" t="s">
        <v>3</v>
      </c>
      <c r="B5" s="8">
        <f>sum('September '!D2:D63)</f>
        <v>1.7</v>
      </c>
    </row>
    <row r="6">
      <c r="A6" s="7" t="s">
        <v>4</v>
      </c>
      <c r="B6" s="8">
        <f>sum('September '!E2:E63)</f>
        <v>141.2</v>
      </c>
    </row>
    <row r="7">
      <c r="A7" s="7" t="s">
        <v>5</v>
      </c>
      <c r="B7" s="8">
        <f>sum('September '!F2:F63)</f>
        <v>192.8</v>
      </c>
    </row>
    <row r="8">
      <c r="A8" s="7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8" width="14.86"/>
    <col customWidth="1" min="9" max="9" width="17.71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2" t="s">
        <v>6</v>
      </c>
      <c r="I1" s="3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>
        <v>45931.0</v>
      </c>
      <c r="B2" s="6" t="s">
        <v>8</v>
      </c>
      <c r="C2" s="7">
        <v>4.0</v>
      </c>
      <c r="E2" s="7">
        <v>1.8</v>
      </c>
      <c r="F2" s="7">
        <v>3.0</v>
      </c>
      <c r="H2" s="8">
        <f t="shared" ref="H2:H11" si="1">SUM(C2:G2)</f>
        <v>8.8</v>
      </c>
      <c r="I2" s="8">
        <f>H2+H3</f>
        <v>15.6</v>
      </c>
    </row>
    <row r="3">
      <c r="A3" s="9"/>
      <c r="B3" s="6" t="s">
        <v>9</v>
      </c>
      <c r="C3" s="7">
        <v>3.3</v>
      </c>
      <c r="D3" s="7"/>
      <c r="E3" s="7">
        <v>1.0</v>
      </c>
      <c r="F3" s="7">
        <v>2.5</v>
      </c>
      <c r="H3" s="8">
        <f t="shared" si="1"/>
        <v>6.8</v>
      </c>
    </row>
    <row r="4">
      <c r="A4" s="13">
        <v>45932.0</v>
      </c>
      <c r="B4" s="6" t="s">
        <v>8</v>
      </c>
      <c r="C4" s="7">
        <v>3.5</v>
      </c>
      <c r="E4" s="7">
        <v>1.0</v>
      </c>
      <c r="F4" s="7">
        <v>2.5</v>
      </c>
      <c r="H4" s="8">
        <f t="shared" si="1"/>
        <v>7</v>
      </c>
      <c r="I4" s="8">
        <f>H4+H5</f>
        <v>15</v>
      </c>
    </row>
    <row r="5">
      <c r="A5" s="9"/>
      <c r="B5" s="6" t="s">
        <v>9</v>
      </c>
      <c r="C5" s="7">
        <v>4.0</v>
      </c>
      <c r="E5" s="7">
        <v>1.3</v>
      </c>
      <c r="F5" s="7">
        <v>2.7</v>
      </c>
      <c r="H5" s="8">
        <f t="shared" si="1"/>
        <v>8</v>
      </c>
    </row>
    <row r="6">
      <c r="A6" s="13">
        <v>45933.0</v>
      </c>
      <c r="B6" s="6" t="s">
        <v>8</v>
      </c>
      <c r="C6" s="7">
        <v>3.5</v>
      </c>
      <c r="E6" s="7">
        <v>1.2</v>
      </c>
      <c r="F6" s="7">
        <v>2.5</v>
      </c>
      <c r="H6" s="8">
        <f t="shared" si="1"/>
        <v>7.2</v>
      </c>
      <c r="I6" s="8">
        <f>H6+H7</f>
        <v>12.7</v>
      </c>
    </row>
    <row r="7">
      <c r="A7" s="9"/>
      <c r="B7" s="6" t="s">
        <v>9</v>
      </c>
      <c r="C7" s="7">
        <v>3.5</v>
      </c>
      <c r="E7" s="7">
        <v>0.0</v>
      </c>
      <c r="F7" s="7">
        <v>2.0</v>
      </c>
      <c r="H7" s="8">
        <f t="shared" si="1"/>
        <v>5.5</v>
      </c>
    </row>
    <row r="8">
      <c r="A8" s="13">
        <v>45934.0</v>
      </c>
      <c r="B8" s="6" t="s">
        <v>8</v>
      </c>
      <c r="C8" s="7">
        <v>4.0</v>
      </c>
      <c r="E8" s="7">
        <v>0.0</v>
      </c>
      <c r="F8" s="7">
        <v>4.0</v>
      </c>
      <c r="H8" s="8">
        <f t="shared" si="1"/>
        <v>8</v>
      </c>
      <c r="I8" s="8">
        <f>H8+H9</f>
        <v>15.5</v>
      </c>
    </row>
    <row r="9">
      <c r="A9" s="9"/>
      <c r="B9" s="6" t="s">
        <v>9</v>
      </c>
      <c r="C9" s="7">
        <v>3.5</v>
      </c>
      <c r="E9" s="7">
        <v>1.5</v>
      </c>
      <c r="F9" s="7">
        <v>2.5</v>
      </c>
      <c r="H9" s="8">
        <f t="shared" si="1"/>
        <v>7.5</v>
      </c>
    </row>
    <row r="10">
      <c r="A10" s="13">
        <v>45935.0</v>
      </c>
      <c r="B10" s="6" t="s">
        <v>8</v>
      </c>
      <c r="C10" s="7">
        <v>3.5</v>
      </c>
      <c r="E10" s="7">
        <v>2.2</v>
      </c>
      <c r="F10" s="7">
        <v>2.2</v>
      </c>
      <c r="H10" s="8">
        <f t="shared" si="1"/>
        <v>7.9</v>
      </c>
      <c r="I10" s="8">
        <f>H10+H11</f>
        <v>16</v>
      </c>
    </row>
    <row r="11">
      <c r="A11" s="9"/>
      <c r="B11" s="6" t="s">
        <v>9</v>
      </c>
      <c r="C11" s="7">
        <v>3.5</v>
      </c>
      <c r="E11" s="7">
        <v>1.8</v>
      </c>
      <c r="F11" s="7">
        <v>2.8</v>
      </c>
      <c r="H11" s="8">
        <f t="shared" si="1"/>
        <v>8.1</v>
      </c>
    </row>
    <row r="12">
      <c r="A12" s="13">
        <v>45936.0</v>
      </c>
      <c r="B12" s="6" t="s">
        <v>8</v>
      </c>
      <c r="C12" s="7">
        <v>4.0</v>
      </c>
      <c r="E12" s="7">
        <v>2.4</v>
      </c>
      <c r="F12" s="7">
        <v>3.0</v>
      </c>
      <c r="H12" s="8">
        <f t="shared" ref="H12:H45" si="2">SUM(C12:F12)</f>
        <v>9.4</v>
      </c>
      <c r="I12" s="8">
        <f>H12+H13</f>
        <v>16.8</v>
      </c>
    </row>
    <row r="13">
      <c r="A13" s="9"/>
      <c r="B13" s="6" t="s">
        <v>9</v>
      </c>
      <c r="C13" s="7">
        <v>3.0</v>
      </c>
      <c r="E13" s="7">
        <v>1.7</v>
      </c>
      <c r="F13" s="7">
        <v>2.7</v>
      </c>
      <c r="H13" s="8">
        <f t="shared" si="2"/>
        <v>7.4</v>
      </c>
    </row>
    <row r="14">
      <c r="A14" s="13">
        <v>45937.0</v>
      </c>
      <c r="B14" s="6" t="s">
        <v>8</v>
      </c>
      <c r="C14" s="7">
        <v>4.3</v>
      </c>
      <c r="E14" s="7">
        <v>1.5</v>
      </c>
      <c r="F14" s="7">
        <v>3.7</v>
      </c>
      <c r="H14" s="8">
        <f t="shared" si="2"/>
        <v>9.5</v>
      </c>
      <c r="I14" s="8">
        <f>H14+H15</f>
        <v>16.4</v>
      </c>
    </row>
    <row r="15">
      <c r="A15" s="9"/>
      <c r="B15" s="6" t="s">
        <v>9</v>
      </c>
      <c r="C15" s="7">
        <v>3.0</v>
      </c>
      <c r="E15" s="7">
        <v>1.2</v>
      </c>
      <c r="F15" s="7">
        <v>2.7</v>
      </c>
      <c r="H15" s="8">
        <f t="shared" si="2"/>
        <v>6.9</v>
      </c>
    </row>
    <row r="16">
      <c r="A16" s="13">
        <v>45938.0</v>
      </c>
      <c r="B16" s="6" t="s">
        <v>8</v>
      </c>
      <c r="C16" s="7">
        <v>3.5</v>
      </c>
      <c r="E16" s="7">
        <v>1.6</v>
      </c>
      <c r="F16" s="7">
        <v>3.5</v>
      </c>
      <c r="H16" s="8">
        <f t="shared" si="2"/>
        <v>8.6</v>
      </c>
      <c r="I16" s="8">
        <f>H16+H17</f>
        <v>16.4</v>
      </c>
    </row>
    <row r="17">
      <c r="A17" s="9"/>
      <c r="B17" s="6" t="s">
        <v>9</v>
      </c>
      <c r="C17" s="7">
        <v>3.0</v>
      </c>
      <c r="E17" s="7">
        <v>1.3</v>
      </c>
      <c r="F17" s="7">
        <v>3.5</v>
      </c>
      <c r="H17" s="8">
        <f t="shared" si="2"/>
        <v>7.8</v>
      </c>
    </row>
    <row r="18">
      <c r="A18" s="13">
        <v>45939.0</v>
      </c>
      <c r="B18" s="6" t="s">
        <v>8</v>
      </c>
      <c r="C18" s="7">
        <v>3.5</v>
      </c>
      <c r="E18" s="7">
        <v>2.3</v>
      </c>
      <c r="F18" s="7">
        <v>3.5</v>
      </c>
      <c r="H18" s="8">
        <f t="shared" si="2"/>
        <v>9.3</v>
      </c>
      <c r="I18" s="8">
        <f>H18+H19</f>
        <v>14.9</v>
      </c>
    </row>
    <row r="19">
      <c r="A19" s="9"/>
      <c r="B19" s="6" t="s">
        <v>9</v>
      </c>
      <c r="C19" s="7">
        <v>2.2</v>
      </c>
      <c r="E19" s="7">
        <v>1.2</v>
      </c>
      <c r="F19" s="7">
        <v>2.2</v>
      </c>
      <c r="H19" s="8">
        <f t="shared" si="2"/>
        <v>5.6</v>
      </c>
    </row>
    <row r="20">
      <c r="A20" s="13">
        <v>45940.0</v>
      </c>
      <c r="B20" s="6" t="s">
        <v>8</v>
      </c>
      <c r="C20" s="7">
        <v>3.5</v>
      </c>
      <c r="E20" s="7">
        <v>1.0</v>
      </c>
      <c r="F20" s="7">
        <v>3.0</v>
      </c>
      <c r="H20" s="8">
        <f t="shared" si="2"/>
        <v>7.5</v>
      </c>
      <c r="I20" s="8">
        <f>H20+H21</f>
        <v>14.8</v>
      </c>
    </row>
    <row r="21" ht="15.75" customHeight="1">
      <c r="A21" s="9"/>
      <c r="B21" s="6" t="s">
        <v>9</v>
      </c>
      <c r="C21" s="7">
        <v>3.2</v>
      </c>
      <c r="E21" s="7">
        <v>1.5</v>
      </c>
      <c r="F21" s="7">
        <v>2.6</v>
      </c>
      <c r="H21" s="8">
        <f t="shared" si="2"/>
        <v>7.3</v>
      </c>
    </row>
    <row r="22" ht="15.75" customHeight="1">
      <c r="A22" s="13">
        <v>45941.0</v>
      </c>
      <c r="B22" s="6" t="s">
        <v>8</v>
      </c>
      <c r="C22" s="7">
        <v>0.0</v>
      </c>
      <c r="E22" s="7">
        <v>0.7</v>
      </c>
      <c r="F22" s="7">
        <v>3.5</v>
      </c>
      <c r="H22" s="8">
        <f t="shared" si="2"/>
        <v>4.2</v>
      </c>
      <c r="I22" s="8">
        <f>H22+H23</f>
        <v>11.7</v>
      </c>
    </row>
    <row r="23" ht="15.75" customHeight="1">
      <c r="A23" s="9"/>
      <c r="B23" s="6" t="s">
        <v>9</v>
      </c>
      <c r="C23" s="7">
        <v>3.0</v>
      </c>
      <c r="E23" s="7">
        <v>1.5</v>
      </c>
      <c r="F23" s="7">
        <v>3.0</v>
      </c>
      <c r="H23" s="8">
        <f t="shared" si="2"/>
        <v>7.5</v>
      </c>
    </row>
    <row r="24" ht="15.75" customHeight="1">
      <c r="A24" s="13">
        <v>45942.0</v>
      </c>
      <c r="B24" s="6" t="s">
        <v>8</v>
      </c>
      <c r="C24" s="7">
        <v>4.0</v>
      </c>
      <c r="E24" s="7">
        <v>1.3</v>
      </c>
      <c r="F24" s="7">
        <v>2.9</v>
      </c>
      <c r="H24" s="8">
        <f t="shared" si="2"/>
        <v>8.2</v>
      </c>
      <c r="I24" s="8">
        <f>H24+H25</f>
        <v>14.9</v>
      </c>
    </row>
    <row r="25" ht="15.75" customHeight="1">
      <c r="A25" s="9"/>
      <c r="B25" s="6" t="s">
        <v>9</v>
      </c>
      <c r="C25" s="7">
        <v>3.0</v>
      </c>
      <c r="E25" s="7">
        <v>0.8</v>
      </c>
      <c r="F25" s="7">
        <v>2.9</v>
      </c>
      <c r="H25" s="8">
        <f t="shared" si="2"/>
        <v>6.7</v>
      </c>
    </row>
    <row r="26" ht="15.75" customHeight="1">
      <c r="A26" s="13">
        <v>45943.0</v>
      </c>
      <c r="B26" s="6" t="s">
        <v>8</v>
      </c>
      <c r="C26" s="7">
        <v>3.0</v>
      </c>
      <c r="E26" s="7">
        <v>1.5</v>
      </c>
      <c r="F26" s="7">
        <v>2.5</v>
      </c>
      <c r="H26" s="8">
        <f t="shared" si="2"/>
        <v>7</v>
      </c>
      <c r="I26" s="8">
        <f>H26+H27</f>
        <v>11.2</v>
      </c>
    </row>
    <row r="27" ht="15.75" customHeight="1">
      <c r="A27" s="9"/>
      <c r="B27" s="6" t="s">
        <v>9</v>
      </c>
      <c r="C27" s="7">
        <v>2.2</v>
      </c>
      <c r="E27" s="7">
        <v>1.0</v>
      </c>
      <c r="F27" s="7">
        <v>1.0</v>
      </c>
      <c r="H27" s="8">
        <f t="shared" si="2"/>
        <v>4.2</v>
      </c>
    </row>
    <row r="28" ht="15.75" customHeight="1">
      <c r="A28" s="13">
        <v>45944.0</v>
      </c>
      <c r="B28" s="6" t="s">
        <v>8</v>
      </c>
      <c r="C28" s="7">
        <v>3.5</v>
      </c>
      <c r="E28" s="7">
        <v>2.0</v>
      </c>
      <c r="F28" s="7">
        <v>2.0</v>
      </c>
      <c r="H28" s="8">
        <f t="shared" si="2"/>
        <v>7.5</v>
      </c>
      <c r="I28" s="8">
        <f>H28+H29</f>
        <v>14.3</v>
      </c>
    </row>
    <row r="29" ht="15.75" customHeight="1">
      <c r="A29" s="9"/>
      <c r="B29" s="6" t="s">
        <v>9</v>
      </c>
      <c r="C29" s="7">
        <v>1.2</v>
      </c>
      <c r="E29" s="7">
        <v>2.4</v>
      </c>
      <c r="F29" s="7">
        <v>3.2</v>
      </c>
      <c r="H29" s="8">
        <f t="shared" si="2"/>
        <v>6.8</v>
      </c>
    </row>
    <row r="30" ht="15.75" customHeight="1">
      <c r="A30" s="13">
        <v>45945.0</v>
      </c>
      <c r="B30" s="6" t="s">
        <v>8</v>
      </c>
      <c r="C30" s="7">
        <v>3.5</v>
      </c>
      <c r="E30" s="7">
        <v>2.8</v>
      </c>
      <c r="F30" s="7">
        <v>2.5</v>
      </c>
      <c r="H30" s="8">
        <f t="shared" si="2"/>
        <v>8.8</v>
      </c>
      <c r="I30" s="8">
        <f>H30+H31</f>
        <v>16.2</v>
      </c>
    </row>
    <row r="31" ht="15.75" customHeight="1">
      <c r="A31" s="9"/>
      <c r="B31" s="6" t="s">
        <v>9</v>
      </c>
      <c r="C31" s="7">
        <v>3.0</v>
      </c>
      <c r="E31" s="7">
        <v>2.0</v>
      </c>
      <c r="F31" s="7">
        <v>2.4</v>
      </c>
      <c r="H31" s="8">
        <f t="shared" si="2"/>
        <v>7.4</v>
      </c>
    </row>
    <row r="32" ht="15.75" customHeight="1">
      <c r="A32" s="13">
        <v>45946.0</v>
      </c>
      <c r="B32" s="6" t="s">
        <v>8</v>
      </c>
      <c r="C32" s="7">
        <v>3.5</v>
      </c>
      <c r="E32" s="7">
        <v>2.0</v>
      </c>
      <c r="F32" s="7">
        <v>3.5</v>
      </c>
      <c r="H32" s="8">
        <f t="shared" si="2"/>
        <v>9</v>
      </c>
      <c r="I32" s="8">
        <f>H32+H33</f>
        <v>16.6</v>
      </c>
    </row>
    <row r="33" ht="15.75" customHeight="1">
      <c r="A33" s="9"/>
      <c r="B33" s="6" t="s">
        <v>9</v>
      </c>
      <c r="C33" s="7">
        <v>3.0</v>
      </c>
      <c r="E33" s="7">
        <v>2.0</v>
      </c>
      <c r="F33" s="7">
        <v>2.6</v>
      </c>
      <c r="H33" s="8">
        <f t="shared" si="2"/>
        <v>7.6</v>
      </c>
    </row>
    <row r="34" ht="15.75" customHeight="1">
      <c r="A34" s="13">
        <v>45947.0</v>
      </c>
      <c r="B34" s="6" t="s">
        <v>8</v>
      </c>
      <c r="C34" s="7">
        <v>4.0</v>
      </c>
      <c r="E34" s="7">
        <v>1.5</v>
      </c>
      <c r="F34" s="7">
        <v>2.7</v>
      </c>
      <c r="H34" s="8">
        <f t="shared" si="2"/>
        <v>8.2</v>
      </c>
      <c r="I34" s="8">
        <f>H34+H35</f>
        <v>14.6</v>
      </c>
    </row>
    <row r="35" ht="15.75" customHeight="1">
      <c r="A35" s="9"/>
      <c r="B35" s="6" t="s">
        <v>9</v>
      </c>
      <c r="C35" s="7">
        <v>3.0</v>
      </c>
      <c r="E35" s="7">
        <v>1.5</v>
      </c>
      <c r="F35" s="7">
        <v>1.9</v>
      </c>
      <c r="H35" s="8">
        <f t="shared" si="2"/>
        <v>6.4</v>
      </c>
    </row>
    <row r="36" ht="15.75" customHeight="1">
      <c r="A36" s="13">
        <v>45948.0</v>
      </c>
      <c r="B36" s="6" t="s">
        <v>8</v>
      </c>
      <c r="C36" s="7">
        <v>3.0</v>
      </c>
      <c r="E36" s="7">
        <v>1.5</v>
      </c>
      <c r="F36" s="7">
        <v>2.5</v>
      </c>
      <c r="H36" s="8">
        <f t="shared" si="2"/>
        <v>7</v>
      </c>
      <c r="I36" s="8">
        <f>H36+H37</f>
        <v>14.2</v>
      </c>
    </row>
    <row r="37" ht="15.75" customHeight="1">
      <c r="A37" s="9"/>
      <c r="B37" s="6" t="s">
        <v>9</v>
      </c>
      <c r="C37" s="7">
        <v>3.2</v>
      </c>
      <c r="E37" s="7">
        <v>1.5</v>
      </c>
      <c r="F37" s="7">
        <v>2.5</v>
      </c>
      <c r="H37" s="8">
        <f t="shared" si="2"/>
        <v>7.2</v>
      </c>
    </row>
    <row r="38" ht="15.75" customHeight="1">
      <c r="A38" s="13">
        <v>45949.0</v>
      </c>
      <c r="B38" s="6" t="s">
        <v>8</v>
      </c>
      <c r="C38" s="7">
        <v>4.0</v>
      </c>
      <c r="E38" s="7">
        <v>2.5</v>
      </c>
      <c r="F38" s="7">
        <v>2.5</v>
      </c>
      <c r="H38" s="8">
        <f t="shared" si="2"/>
        <v>9</v>
      </c>
      <c r="I38" s="8">
        <f>H38+H39</f>
        <v>15.4</v>
      </c>
    </row>
    <row r="39" ht="15.75" customHeight="1">
      <c r="A39" s="9"/>
      <c r="B39" s="6" t="s">
        <v>9</v>
      </c>
      <c r="C39" s="7">
        <v>2.5</v>
      </c>
      <c r="E39" s="7">
        <v>1.7</v>
      </c>
      <c r="F39" s="7">
        <v>2.2</v>
      </c>
      <c r="H39" s="8">
        <f t="shared" si="2"/>
        <v>6.4</v>
      </c>
    </row>
    <row r="40" ht="15.75" customHeight="1">
      <c r="A40" s="13">
        <v>45950.0</v>
      </c>
      <c r="B40" s="6" t="s">
        <v>8</v>
      </c>
      <c r="C40" s="7">
        <v>4.0</v>
      </c>
      <c r="E40" s="7">
        <v>0.0</v>
      </c>
      <c r="F40" s="7">
        <v>3.0</v>
      </c>
      <c r="H40" s="8">
        <f t="shared" si="2"/>
        <v>7</v>
      </c>
      <c r="I40" s="8">
        <f>H40+H41</f>
        <v>10.9</v>
      </c>
    </row>
    <row r="41" ht="15.75" customHeight="1">
      <c r="A41" s="9"/>
      <c r="B41" s="6" t="s">
        <v>9</v>
      </c>
      <c r="C41" s="7">
        <v>0.0</v>
      </c>
      <c r="E41" s="7">
        <v>1.9</v>
      </c>
      <c r="F41" s="7">
        <v>2.0</v>
      </c>
      <c r="H41" s="8">
        <f t="shared" si="2"/>
        <v>3.9</v>
      </c>
    </row>
    <row r="42" ht="15.75" customHeight="1">
      <c r="A42" s="13">
        <v>45951.0</v>
      </c>
      <c r="B42" s="6" t="s">
        <v>8</v>
      </c>
      <c r="C42" s="7">
        <v>4.5</v>
      </c>
      <c r="E42" s="7">
        <v>2.5</v>
      </c>
      <c r="F42" s="7">
        <v>2.5</v>
      </c>
      <c r="H42" s="8">
        <f t="shared" si="2"/>
        <v>9.5</v>
      </c>
      <c r="I42" s="8">
        <f>H42+H43</f>
        <v>16.5</v>
      </c>
    </row>
    <row r="43" ht="15.75" customHeight="1">
      <c r="A43" s="9"/>
      <c r="B43" s="6" t="s">
        <v>9</v>
      </c>
      <c r="C43" s="7">
        <v>2.5</v>
      </c>
      <c r="E43" s="7">
        <v>2.0</v>
      </c>
      <c r="F43" s="7">
        <v>2.5</v>
      </c>
      <c r="H43" s="8">
        <f t="shared" si="2"/>
        <v>7</v>
      </c>
    </row>
    <row r="44" ht="15.75" customHeight="1">
      <c r="A44" s="13">
        <v>45952.0</v>
      </c>
      <c r="B44" s="6" t="s">
        <v>8</v>
      </c>
      <c r="C44" s="7">
        <v>2.5</v>
      </c>
      <c r="E44" s="7">
        <v>2.5</v>
      </c>
      <c r="F44" s="7">
        <v>3.0</v>
      </c>
      <c r="H44" s="8">
        <f t="shared" si="2"/>
        <v>8</v>
      </c>
      <c r="I44" s="8">
        <f>H44+H45</f>
        <v>15.9</v>
      </c>
    </row>
    <row r="45" ht="15.75" customHeight="1">
      <c r="A45" s="9"/>
      <c r="B45" s="6" t="s">
        <v>9</v>
      </c>
      <c r="C45" s="7">
        <v>2.0</v>
      </c>
      <c r="E45" s="7">
        <v>2.4</v>
      </c>
      <c r="F45" s="7">
        <v>3.5</v>
      </c>
      <c r="H45" s="8">
        <f t="shared" si="2"/>
        <v>7.9</v>
      </c>
    </row>
    <row r="46" ht="15.75" customHeight="1">
      <c r="A46" s="13">
        <v>45953.0</v>
      </c>
      <c r="B46" s="6" t="s">
        <v>8</v>
      </c>
      <c r="C46" s="7">
        <v>0.5</v>
      </c>
      <c r="E46" s="7">
        <v>2.5</v>
      </c>
      <c r="F46" s="7">
        <v>3.0</v>
      </c>
      <c r="G46" s="7">
        <v>3.5</v>
      </c>
      <c r="H46" s="8">
        <f t="shared" ref="H46:H63" si="3">SUM(C46:G46)</f>
        <v>9.5</v>
      </c>
      <c r="I46" s="8">
        <f>H46+H47</f>
        <v>20.4</v>
      </c>
    </row>
    <row r="47" ht="15.75" customHeight="1">
      <c r="A47" s="9"/>
      <c r="B47" s="6" t="s">
        <v>9</v>
      </c>
      <c r="C47" s="7">
        <v>2.7</v>
      </c>
      <c r="E47" s="7">
        <v>2.0</v>
      </c>
      <c r="F47" s="7">
        <v>3.0</v>
      </c>
      <c r="G47" s="7">
        <v>3.2</v>
      </c>
      <c r="H47" s="8">
        <f t="shared" si="3"/>
        <v>10.9</v>
      </c>
    </row>
    <row r="48" ht="15.75" customHeight="1">
      <c r="A48" s="13">
        <v>45954.0</v>
      </c>
      <c r="B48" s="6" t="s">
        <v>8</v>
      </c>
      <c r="C48" s="7">
        <v>1.9</v>
      </c>
      <c r="E48" s="7">
        <v>2.8</v>
      </c>
      <c r="F48" s="7">
        <v>4.0</v>
      </c>
      <c r="G48" s="7">
        <v>3.8</v>
      </c>
      <c r="H48" s="8">
        <f t="shared" si="3"/>
        <v>12.5</v>
      </c>
      <c r="I48" s="8">
        <f>H48+H49</f>
        <v>24.9</v>
      </c>
    </row>
    <row r="49" ht="15.75" customHeight="1">
      <c r="A49" s="9"/>
      <c r="B49" s="6" t="s">
        <v>9</v>
      </c>
      <c r="C49" s="7">
        <v>3.0</v>
      </c>
      <c r="E49" s="7">
        <v>2.7</v>
      </c>
      <c r="F49" s="7">
        <v>3.7</v>
      </c>
      <c r="G49" s="7">
        <v>3.0</v>
      </c>
      <c r="H49" s="8">
        <f t="shared" si="3"/>
        <v>12.4</v>
      </c>
    </row>
    <row r="50" ht="15.75" customHeight="1">
      <c r="A50" s="13">
        <v>45955.0</v>
      </c>
      <c r="B50" s="6" t="s">
        <v>8</v>
      </c>
      <c r="C50" s="7">
        <v>2.7</v>
      </c>
      <c r="E50" s="7">
        <v>1.7</v>
      </c>
      <c r="F50" s="7">
        <v>4.0</v>
      </c>
      <c r="G50" s="7">
        <v>3.7</v>
      </c>
      <c r="H50" s="8">
        <f t="shared" si="3"/>
        <v>12.1</v>
      </c>
      <c r="I50" s="8">
        <f>H50+H51</f>
        <v>23.8</v>
      </c>
    </row>
    <row r="51" ht="15.75" customHeight="1">
      <c r="A51" s="9"/>
      <c r="B51" s="6" t="s">
        <v>9</v>
      </c>
      <c r="C51" s="7">
        <v>2.7</v>
      </c>
      <c r="E51" s="7">
        <v>2.5</v>
      </c>
      <c r="F51" s="7">
        <v>3.0</v>
      </c>
      <c r="G51" s="7">
        <v>3.5</v>
      </c>
      <c r="H51" s="8">
        <f t="shared" si="3"/>
        <v>11.7</v>
      </c>
    </row>
    <row r="52" ht="15.75" customHeight="1">
      <c r="A52" s="13">
        <v>45956.0</v>
      </c>
      <c r="B52" s="6" t="s">
        <v>8</v>
      </c>
      <c r="C52" s="7">
        <v>3.5</v>
      </c>
      <c r="E52" s="7">
        <v>3.2</v>
      </c>
      <c r="F52" s="7">
        <v>4.5</v>
      </c>
      <c r="G52" s="7">
        <v>5.0</v>
      </c>
      <c r="H52" s="8">
        <f t="shared" si="3"/>
        <v>16.2</v>
      </c>
      <c r="I52" s="8">
        <f>H52+H53</f>
        <v>26</v>
      </c>
    </row>
    <row r="53" ht="15.75" customHeight="1">
      <c r="A53" s="9"/>
      <c r="B53" s="6" t="s">
        <v>9</v>
      </c>
      <c r="C53" s="7">
        <v>2.7</v>
      </c>
      <c r="E53" s="7">
        <v>0.6</v>
      </c>
      <c r="F53" s="7">
        <v>3.5</v>
      </c>
      <c r="G53" s="7">
        <v>3.0</v>
      </c>
      <c r="H53" s="8">
        <f t="shared" si="3"/>
        <v>9.8</v>
      </c>
    </row>
    <row r="54" ht="15.75" customHeight="1">
      <c r="A54" s="13">
        <v>45957.0</v>
      </c>
      <c r="B54" s="6" t="s">
        <v>8</v>
      </c>
      <c r="C54" s="7">
        <v>3.8</v>
      </c>
      <c r="E54" s="7">
        <v>2.5</v>
      </c>
      <c r="F54" s="7">
        <v>4.2</v>
      </c>
      <c r="G54" s="7">
        <v>4.5</v>
      </c>
      <c r="H54" s="8">
        <f t="shared" si="3"/>
        <v>15</v>
      </c>
      <c r="I54" s="8">
        <f>H54+H55</f>
        <v>25.4</v>
      </c>
    </row>
    <row r="55" ht="15.75" customHeight="1">
      <c r="A55" s="9"/>
      <c r="B55" s="6" t="s">
        <v>9</v>
      </c>
      <c r="C55" s="7">
        <v>1.5</v>
      </c>
      <c r="E55" s="7">
        <v>1.9</v>
      </c>
      <c r="F55" s="7">
        <v>3.5</v>
      </c>
      <c r="G55" s="7">
        <v>3.5</v>
      </c>
      <c r="H55" s="8">
        <f t="shared" si="3"/>
        <v>10.4</v>
      </c>
    </row>
    <row r="56" ht="15.75" customHeight="1">
      <c r="A56" s="13">
        <v>45958.0</v>
      </c>
      <c r="B56" s="6" t="s">
        <v>8</v>
      </c>
      <c r="C56" s="7">
        <v>3.8</v>
      </c>
      <c r="E56" s="7">
        <v>2.5</v>
      </c>
      <c r="F56" s="7">
        <v>3.3</v>
      </c>
      <c r="G56" s="7">
        <v>4.1</v>
      </c>
      <c r="H56" s="8">
        <f t="shared" si="3"/>
        <v>13.7</v>
      </c>
      <c r="I56" s="8">
        <f>H56+H57</f>
        <v>25.1</v>
      </c>
    </row>
    <row r="57" ht="15.75" customHeight="1">
      <c r="A57" s="9"/>
      <c r="B57" s="6" t="s">
        <v>9</v>
      </c>
      <c r="C57" s="7">
        <v>2.5</v>
      </c>
      <c r="E57" s="7">
        <v>2.2</v>
      </c>
      <c r="F57" s="7">
        <v>3.0</v>
      </c>
      <c r="G57" s="7">
        <v>3.7</v>
      </c>
      <c r="H57" s="8">
        <f t="shared" si="3"/>
        <v>11.4</v>
      </c>
    </row>
    <row r="58" ht="15.75" customHeight="1">
      <c r="A58" s="13">
        <v>45959.0</v>
      </c>
      <c r="B58" s="6" t="s">
        <v>8</v>
      </c>
      <c r="C58" s="7">
        <v>2.8</v>
      </c>
      <c r="E58" s="7">
        <v>1.0</v>
      </c>
      <c r="F58" s="7">
        <v>4.0</v>
      </c>
      <c r="G58" s="7">
        <v>5.4</v>
      </c>
      <c r="H58" s="8">
        <f t="shared" si="3"/>
        <v>13.2</v>
      </c>
      <c r="I58" s="8">
        <f>H58+H59</f>
        <v>21.7</v>
      </c>
    </row>
    <row r="59" ht="15.75" customHeight="1">
      <c r="A59" s="9"/>
      <c r="B59" s="6" t="s">
        <v>9</v>
      </c>
      <c r="C59" s="7">
        <v>3.0</v>
      </c>
      <c r="E59" s="7">
        <v>0.0</v>
      </c>
      <c r="F59" s="7">
        <v>2.5</v>
      </c>
      <c r="G59" s="7">
        <v>3.0</v>
      </c>
      <c r="H59" s="8">
        <f t="shared" si="3"/>
        <v>8.5</v>
      </c>
    </row>
    <row r="60" ht="15.75" customHeight="1">
      <c r="A60" s="13">
        <v>45960.0</v>
      </c>
      <c r="B60" s="6" t="s">
        <v>8</v>
      </c>
      <c r="C60" s="7">
        <v>0.0</v>
      </c>
      <c r="E60" s="7">
        <v>0.0</v>
      </c>
      <c r="F60" s="7">
        <v>4.0</v>
      </c>
      <c r="G60" s="7">
        <v>5.0</v>
      </c>
      <c r="H60" s="8">
        <f t="shared" si="3"/>
        <v>9</v>
      </c>
      <c r="I60" s="8">
        <f>H60+H61</f>
        <v>19</v>
      </c>
    </row>
    <row r="61" ht="15.75" customHeight="1">
      <c r="A61" s="9"/>
      <c r="B61" s="6" t="s">
        <v>9</v>
      </c>
      <c r="C61" s="7">
        <v>1.5</v>
      </c>
      <c r="E61" s="7">
        <v>1.5</v>
      </c>
      <c r="F61" s="7">
        <v>2.0</v>
      </c>
      <c r="G61" s="7">
        <v>5.0</v>
      </c>
      <c r="H61" s="8">
        <f t="shared" si="3"/>
        <v>10</v>
      </c>
    </row>
    <row r="62" ht="15.75" customHeight="1">
      <c r="A62" s="13"/>
      <c r="B62" s="6" t="s">
        <v>8</v>
      </c>
      <c r="C62" s="7">
        <v>3.0</v>
      </c>
      <c r="E62" s="7">
        <v>1.0</v>
      </c>
      <c r="F62" s="7">
        <v>2.5</v>
      </c>
      <c r="G62" s="7">
        <v>5.0</v>
      </c>
      <c r="H62" s="8">
        <f t="shared" si="3"/>
        <v>11.5</v>
      </c>
      <c r="I62" s="8">
        <f>H62+H63</f>
        <v>21</v>
      </c>
    </row>
    <row r="63" ht="15.75" customHeight="1">
      <c r="A63" s="9"/>
      <c r="B63" s="6" t="s">
        <v>9</v>
      </c>
      <c r="C63" s="7">
        <v>3.5</v>
      </c>
      <c r="E63" s="7">
        <v>0.0</v>
      </c>
      <c r="F63" s="7">
        <v>3.5</v>
      </c>
      <c r="G63" s="7">
        <v>2.5</v>
      </c>
      <c r="H63" s="8">
        <f t="shared" si="3"/>
        <v>9.5</v>
      </c>
    </row>
    <row r="64" ht="15.75" customHeight="1"/>
    <row r="65" ht="15.75" customHeight="1">
      <c r="A65" s="10"/>
    </row>
    <row r="66" ht="15.75" customHeight="1"/>
    <row r="67" ht="15.75" customHeight="1">
      <c r="A67" s="10"/>
    </row>
    <row r="68" ht="15.75" customHeight="1"/>
    <row r="69" ht="15.75" customHeight="1">
      <c r="A69" s="10"/>
    </row>
    <row r="70" ht="15.75" customHeight="1"/>
    <row r="71" ht="15.75" customHeight="1">
      <c r="A71" s="10"/>
    </row>
    <row r="72" ht="15.75" customHeight="1"/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65:A66"/>
    <mergeCell ref="A67:A68"/>
    <mergeCell ref="A69:A70"/>
    <mergeCell ref="A71:A72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533.8</v>
      </c>
    </row>
    <row r="4">
      <c r="A4" s="7" t="s">
        <v>2</v>
      </c>
      <c r="B4" s="8">
        <f>sum('October '!C2:C63)</f>
        <v>182.7</v>
      </c>
    </row>
    <row r="5">
      <c r="A5" s="7" t="s">
        <v>3</v>
      </c>
      <c r="B5" s="8">
        <f>sum('October '!D3:D63)</f>
        <v>0</v>
      </c>
    </row>
    <row r="6">
      <c r="A6" s="7" t="s">
        <v>4</v>
      </c>
      <c r="B6" s="8">
        <f>sum('October '!E2:E63)</f>
        <v>99.6</v>
      </c>
    </row>
    <row r="7">
      <c r="A7" s="7" t="s">
        <v>5</v>
      </c>
      <c r="B7" s="8">
        <f>sum('October '!F2:F63)</f>
        <v>181.1</v>
      </c>
    </row>
    <row r="8">
      <c r="A8" s="7" t="s">
        <v>11</v>
      </c>
      <c r="B8" s="8">
        <f>sum('October '!G2:G63)</f>
        <v>70.4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0" width="14.86"/>
    <col customWidth="1" min="11" max="11" width="17.71"/>
    <col customWidth="1" min="12" max="28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38</v>
      </c>
      <c r="J1" s="2" t="s">
        <v>6</v>
      </c>
      <c r="K1" s="3" t="s">
        <v>21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3">
        <v>45962.0</v>
      </c>
      <c r="B2" s="6" t="s">
        <v>8</v>
      </c>
      <c r="C2" s="7">
        <v>2.0</v>
      </c>
      <c r="E2" s="7">
        <v>0.0</v>
      </c>
      <c r="F2" s="7">
        <v>3.5</v>
      </c>
      <c r="G2" s="7">
        <v>4.4</v>
      </c>
      <c r="I2" s="7"/>
      <c r="J2" s="8">
        <f t="shared" ref="J2:J63" si="1">SUM(C2:I2)</f>
        <v>9.9</v>
      </c>
      <c r="K2" s="8">
        <f>J2+J3</f>
        <v>20.7</v>
      </c>
    </row>
    <row r="3">
      <c r="A3" s="9"/>
      <c r="B3" s="6" t="s">
        <v>9</v>
      </c>
      <c r="C3" s="7">
        <v>3.8</v>
      </c>
      <c r="E3" s="7">
        <v>0.0</v>
      </c>
      <c r="F3" s="7">
        <v>3.0</v>
      </c>
      <c r="G3" s="7">
        <v>4.0</v>
      </c>
      <c r="J3" s="8">
        <f t="shared" si="1"/>
        <v>10.8</v>
      </c>
    </row>
    <row r="4">
      <c r="A4" s="13">
        <v>45963.0</v>
      </c>
      <c r="B4" s="6" t="s">
        <v>8</v>
      </c>
      <c r="C4" s="7">
        <v>3.3</v>
      </c>
      <c r="E4" s="7">
        <v>0.0</v>
      </c>
      <c r="F4" s="7">
        <v>3.0</v>
      </c>
      <c r="G4" s="7">
        <v>4.4</v>
      </c>
      <c r="J4" s="8">
        <f t="shared" si="1"/>
        <v>10.7</v>
      </c>
      <c r="K4" s="8">
        <f>J4+J5</f>
        <v>16.7</v>
      </c>
    </row>
    <row r="5">
      <c r="A5" s="9"/>
      <c r="B5" s="6" t="s">
        <v>9</v>
      </c>
      <c r="C5" s="7">
        <v>0.5</v>
      </c>
      <c r="E5" s="7">
        <v>0.5</v>
      </c>
      <c r="F5" s="7">
        <v>2.5</v>
      </c>
      <c r="G5" s="7">
        <v>2.5</v>
      </c>
      <c r="J5" s="8">
        <f t="shared" si="1"/>
        <v>6</v>
      </c>
    </row>
    <row r="6">
      <c r="A6" s="13">
        <v>45964.0</v>
      </c>
      <c r="B6" s="6" t="s">
        <v>8</v>
      </c>
      <c r="C6" s="7">
        <v>3.3</v>
      </c>
      <c r="E6" s="7">
        <v>0.0</v>
      </c>
      <c r="F6" s="7">
        <v>3.5</v>
      </c>
      <c r="G6" s="7">
        <v>4.5</v>
      </c>
      <c r="J6" s="8">
        <f t="shared" si="1"/>
        <v>11.3</v>
      </c>
      <c r="K6" s="8">
        <f>J6+J7</f>
        <v>19.3</v>
      </c>
    </row>
    <row r="7">
      <c r="A7" s="9"/>
      <c r="B7" s="6" t="s">
        <v>9</v>
      </c>
      <c r="C7" s="7">
        <v>3.0</v>
      </c>
      <c r="E7" s="7">
        <v>0.5</v>
      </c>
      <c r="F7" s="7">
        <v>1.5</v>
      </c>
      <c r="G7" s="7">
        <v>3.0</v>
      </c>
      <c r="J7" s="8">
        <f t="shared" si="1"/>
        <v>8</v>
      </c>
    </row>
    <row r="8">
      <c r="A8" s="13">
        <v>45965.0</v>
      </c>
      <c r="B8" s="6" t="s">
        <v>8</v>
      </c>
      <c r="C8" s="7">
        <v>2.0</v>
      </c>
      <c r="E8" s="7">
        <v>0.0</v>
      </c>
      <c r="F8" s="7">
        <v>0.0</v>
      </c>
      <c r="G8" s="7">
        <v>4.0</v>
      </c>
      <c r="J8" s="8">
        <f t="shared" si="1"/>
        <v>6</v>
      </c>
      <c r="K8" s="8">
        <f>J8+J9</f>
        <v>14.8</v>
      </c>
    </row>
    <row r="9">
      <c r="A9" s="9"/>
      <c r="B9" s="6" t="s">
        <v>9</v>
      </c>
      <c r="C9" s="7">
        <v>2.5</v>
      </c>
      <c r="E9" s="7">
        <v>0.0</v>
      </c>
      <c r="F9" s="7">
        <v>2.0</v>
      </c>
      <c r="G9" s="7">
        <v>4.3</v>
      </c>
      <c r="J9" s="8">
        <f t="shared" si="1"/>
        <v>8.8</v>
      </c>
    </row>
    <row r="10">
      <c r="A10" s="13">
        <v>45966.0</v>
      </c>
      <c r="B10" s="6" t="s">
        <v>8</v>
      </c>
      <c r="C10" s="7">
        <v>3.0</v>
      </c>
      <c r="E10" s="7">
        <v>1.0</v>
      </c>
      <c r="F10" s="7">
        <v>4.0</v>
      </c>
      <c r="G10" s="7">
        <v>5.0</v>
      </c>
      <c r="J10" s="8">
        <f t="shared" si="1"/>
        <v>13</v>
      </c>
      <c r="K10" s="8">
        <f>J10+J11</f>
        <v>24</v>
      </c>
    </row>
    <row r="11">
      <c r="A11" s="9"/>
      <c r="B11" s="6" t="s">
        <v>9</v>
      </c>
      <c r="C11" s="7">
        <v>2.5</v>
      </c>
      <c r="E11" s="7">
        <v>1.5</v>
      </c>
      <c r="F11" s="7">
        <v>3.0</v>
      </c>
      <c r="G11" s="7">
        <v>4.0</v>
      </c>
      <c r="J11" s="8">
        <f t="shared" si="1"/>
        <v>11</v>
      </c>
    </row>
    <row r="12">
      <c r="A12" s="13">
        <v>45967.0</v>
      </c>
      <c r="B12" s="6" t="s">
        <v>8</v>
      </c>
      <c r="C12" s="7">
        <v>3.5</v>
      </c>
      <c r="E12" s="7">
        <v>0.5</v>
      </c>
      <c r="F12" s="7">
        <v>4.5</v>
      </c>
      <c r="G12" s="7">
        <v>4.5</v>
      </c>
      <c r="J12" s="8">
        <f t="shared" si="1"/>
        <v>13</v>
      </c>
      <c r="K12" s="8">
        <f>J12+J13</f>
        <v>22.5</v>
      </c>
    </row>
    <row r="13">
      <c r="A13" s="9"/>
      <c r="B13" s="6" t="s">
        <v>9</v>
      </c>
      <c r="C13" s="7">
        <v>2.5</v>
      </c>
      <c r="E13" s="7">
        <v>0.0</v>
      </c>
      <c r="F13" s="7">
        <v>3.0</v>
      </c>
      <c r="G13" s="7">
        <v>4.0</v>
      </c>
      <c r="J13" s="8">
        <f t="shared" si="1"/>
        <v>9.5</v>
      </c>
    </row>
    <row r="14">
      <c r="A14" s="13">
        <v>45968.0</v>
      </c>
      <c r="B14" s="6" t="s">
        <v>8</v>
      </c>
      <c r="C14" s="7">
        <v>0.0</v>
      </c>
      <c r="E14" s="7">
        <v>0.0</v>
      </c>
      <c r="F14" s="7">
        <v>4.5</v>
      </c>
      <c r="G14" s="7">
        <v>4.5</v>
      </c>
      <c r="J14" s="8">
        <f t="shared" si="1"/>
        <v>9</v>
      </c>
      <c r="K14" s="8">
        <f>J14+J15</f>
        <v>17.9</v>
      </c>
    </row>
    <row r="15">
      <c r="A15" s="9"/>
      <c r="B15" s="6" t="s">
        <v>9</v>
      </c>
      <c r="C15" s="7">
        <v>3.0</v>
      </c>
      <c r="F15" s="7">
        <v>2.2</v>
      </c>
      <c r="G15" s="7">
        <v>3.7</v>
      </c>
      <c r="J15" s="8">
        <f t="shared" si="1"/>
        <v>8.9</v>
      </c>
    </row>
    <row r="16">
      <c r="A16" s="13">
        <v>45969.0</v>
      </c>
      <c r="B16" s="6" t="s">
        <v>8</v>
      </c>
      <c r="C16" s="7">
        <v>0.0</v>
      </c>
      <c r="F16" s="7">
        <v>3.3</v>
      </c>
      <c r="G16" s="7">
        <v>5.0</v>
      </c>
      <c r="J16" s="8">
        <f t="shared" si="1"/>
        <v>8.3</v>
      </c>
      <c r="K16" s="8">
        <f>J16+J17</f>
        <v>14.3</v>
      </c>
    </row>
    <row r="17">
      <c r="A17" s="9"/>
      <c r="B17" s="6" t="s">
        <v>9</v>
      </c>
      <c r="F17" s="7">
        <v>2.0</v>
      </c>
      <c r="G17" s="7">
        <v>4.0</v>
      </c>
      <c r="J17" s="8">
        <f t="shared" si="1"/>
        <v>6</v>
      </c>
    </row>
    <row r="18">
      <c r="A18" s="13">
        <v>45970.0</v>
      </c>
      <c r="B18" s="6" t="s">
        <v>8</v>
      </c>
      <c r="C18" s="7">
        <v>3.7</v>
      </c>
      <c r="F18" s="7">
        <v>3.2</v>
      </c>
      <c r="G18" s="7">
        <v>4.5</v>
      </c>
      <c r="J18" s="8">
        <f t="shared" si="1"/>
        <v>11.4</v>
      </c>
      <c r="K18" s="8">
        <f>J18+J19</f>
        <v>19.2</v>
      </c>
    </row>
    <row r="19">
      <c r="A19" s="9"/>
      <c r="B19" s="6" t="s">
        <v>9</v>
      </c>
      <c r="F19" s="7">
        <v>3.3</v>
      </c>
      <c r="G19" s="7">
        <v>4.5</v>
      </c>
      <c r="J19" s="8">
        <f t="shared" si="1"/>
        <v>7.8</v>
      </c>
    </row>
    <row r="20">
      <c r="A20" s="13">
        <v>45971.0</v>
      </c>
      <c r="B20" s="6" t="s">
        <v>8</v>
      </c>
      <c r="C20" s="7">
        <v>3.5</v>
      </c>
      <c r="F20" s="7">
        <v>3.5</v>
      </c>
      <c r="G20" s="7">
        <v>4.8</v>
      </c>
      <c r="J20" s="8">
        <f t="shared" si="1"/>
        <v>11.8</v>
      </c>
      <c r="K20" s="8">
        <f>J20+J21</f>
        <v>18.1</v>
      </c>
    </row>
    <row r="21" ht="15.75" customHeight="1">
      <c r="A21" s="9"/>
      <c r="B21" s="6" t="s">
        <v>9</v>
      </c>
      <c r="F21" s="7">
        <v>3.5</v>
      </c>
      <c r="G21" s="7">
        <v>2.8</v>
      </c>
      <c r="J21" s="8">
        <f t="shared" si="1"/>
        <v>6.3</v>
      </c>
    </row>
    <row r="22" ht="15.75" customHeight="1">
      <c r="A22" s="13">
        <v>45972.0</v>
      </c>
      <c r="B22" s="6" t="s">
        <v>8</v>
      </c>
      <c r="C22" s="7">
        <v>3.0</v>
      </c>
      <c r="F22" s="7">
        <v>3.5</v>
      </c>
      <c r="G22" s="7">
        <v>1.5</v>
      </c>
      <c r="J22" s="8">
        <f t="shared" si="1"/>
        <v>8</v>
      </c>
      <c r="K22" s="8">
        <f>J22+J23</f>
        <v>16</v>
      </c>
    </row>
    <row r="23" ht="15.75" customHeight="1">
      <c r="A23" s="9"/>
      <c r="B23" s="6" t="s">
        <v>9</v>
      </c>
      <c r="C23" s="7">
        <v>1.5</v>
      </c>
      <c r="F23" s="7">
        <v>3.0</v>
      </c>
      <c r="G23" s="7">
        <v>3.5</v>
      </c>
      <c r="J23" s="8">
        <f t="shared" si="1"/>
        <v>8</v>
      </c>
    </row>
    <row r="24" ht="15.75" customHeight="1">
      <c r="A24" s="13">
        <v>45973.0</v>
      </c>
      <c r="B24" s="6" t="s">
        <v>8</v>
      </c>
      <c r="C24" s="7">
        <v>2.5</v>
      </c>
      <c r="F24" s="7">
        <v>3.5</v>
      </c>
      <c r="G24" s="7">
        <v>4.7</v>
      </c>
      <c r="J24" s="8">
        <f t="shared" si="1"/>
        <v>10.7</v>
      </c>
      <c r="K24" s="8">
        <f>J24+J25</f>
        <v>17.4</v>
      </c>
    </row>
    <row r="25" ht="15.75" customHeight="1">
      <c r="A25" s="9"/>
      <c r="B25" s="6" t="s">
        <v>9</v>
      </c>
      <c r="F25" s="7">
        <v>3.3</v>
      </c>
      <c r="G25" s="7">
        <v>3.4</v>
      </c>
      <c r="J25" s="8">
        <f t="shared" si="1"/>
        <v>6.7</v>
      </c>
    </row>
    <row r="26" ht="15.75" customHeight="1">
      <c r="A26" s="13">
        <v>45974.0</v>
      </c>
      <c r="B26" s="6" t="s">
        <v>8</v>
      </c>
      <c r="C26" s="7">
        <v>3.7</v>
      </c>
      <c r="F26" s="7">
        <v>3.9</v>
      </c>
      <c r="G26" s="7">
        <v>5.0</v>
      </c>
      <c r="J26" s="8">
        <f t="shared" si="1"/>
        <v>12.6</v>
      </c>
      <c r="K26" s="8">
        <f>J26+J27</f>
        <v>20.1</v>
      </c>
    </row>
    <row r="27" ht="15.75" customHeight="1">
      <c r="A27" s="9"/>
      <c r="B27" s="6" t="s">
        <v>9</v>
      </c>
      <c r="F27" s="7">
        <v>3.5</v>
      </c>
      <c r="G27" s="7">
        <v>4.0</v>
      </c>
      <c r="J27" s="8">
        <f t="shared" si="1"/>
        <v>7.5</v>
      </c>
    </row>
    <row r="28" ht="15.75" customHeight="1">
      <c r="A28" s="13">
        <v>45975.0</v>
      </c>
      <c r="B28" s="6" t="s">
        <v>8</v>
      </c>
      <c r="C28" s="7">
        <v>3.5</v>
      </c>
      <c r="F28" s="7">
        <v>3.5</v>
      </c>
      <c r="G28" s="7">
        <v>5.5</v>
      </c>
      <c r="J28" s="8">
        <f t="shared" si="1"/>
        <v>12.5</v>
      </c>
      <c r="K28" s="8">
        <f>J28+J29</f>
        <v>20</v>
      </c>
    </row>
    <row r="29" ht="15.75" customHeight="1">
      <c r="A29" s="9"/>
      <c r="B29" s="6" t="s">
        <v>9</v>
      </c>
      <c r="F29" s="7">
        <v>2.5</v>
      </c>
      <c r="G29" s="7">
        <v>5.0</v>
      </c>
      <c r="J29" s="8">
        <f t="shared" si="1"/>
        <v>7.5</v>
      </c>
    </row>
    <row r="30" ht="15.75" customHeight="1">
      <c r="A30" s="13">
        <v>45976.0</v>
      </c>
      <c r="B30" s="6" t="s">
        <v>8</v>
      </c>
      <c r="F30" s="7">
        <v>2.5</v>
      </c>
      <c r="G30" s="7">
        <v>5.0</v>
      </c>
      <c r="J30" s="8">
        <f t="shared" si="1"/>
        <v>7.5</v>
      </c>
      <c r="K30" s="8">
        <f>J30+J31</f>
        <v>20.5</v>
      </c>
    </row>
    <row r="31" ht="15.75" customHeight="1">
      <c r="A31" s="9"/>
      <c r="B31" s="6" t="s">
        <v>9</v>
      </c>
      <c r="C31" s="7">
        <v>3.0</v>
      </c>
      <c r="F31" s="7">
        <v>2.0</v>
      </c>
      <c r="G31" s="7">
        <v>4.5</v>
      </c>
      <c r="H31" s="7">
        <v>3.5</v>
      </c>
      <c r="J31" s="8">
        <f t="shared" si="1"/>
        <v>13</v>
      </c>
    </row>
    <row r="32" ht="15.75" customHeight="1">
      <c r="A32" s="13">
        <v>45977.0</v>
      </c>
      <c r="B32" s="6" t="s">
        <v>8</v>
      </c>
      <c r="C32" s="7">
        <v>3.0</v>
      </c>
      <c r="F32" s="7">
        <v>3.0</v>
      </c>
      <c r="G32" s="7">
        <v>4.5</v>
      </c>
      <c r="H32" s="7">
        <v>3.5</v>
      </c>
      <c r="J32" s="8">
        <f t="shared" si="1"/>
        <v>14</v>
      </c>
      <c r="K32" s="8">
        <f>J32+J33</f>
        <v>24.5</v>
      </c>
    </row>
    <row r="33" ht="15.75" customHeight="1">
      <c r="A33" s="9"/>
      <c r="B33" s="6" t="s">
        <v>9</v>
      </c>
      <c r="F33" s="7">
        <v>3.0</v>
      </c>
      <c r="G33" s="7">
        <v>4.0</v>
      </c>
      <c r="H33" s="7">
        <v>3.5</v>
      </c>
      <c r="J33" s="8">
        <f t="shared" si="1"/>
        <v>10.5</v>
      </c>
    </row>
    <row r="34" ht="15.75" customHeight="1">
      <c r="A34" s="13">
        <v>45978.0</v>
      </c>
      <c r="B34" s="6" t="s">
        <v>8</v>
      </c>
      <c r="C34" s="7">
        <v>2.0</v>
      </c>
      <c r="F34" s="7">
        <v>3.0</v>
      </c>
      <c r="G34" s="7">
        <v>4.5</v>
      </c>
      <c r="H34" s="7">
        <v>3.5</v>
      </c>
      <c r="J34" s="8">
        <f t="shared" si="1"/>
        <v>13</v>
      </c>
      <c r="K34" s="8">
        <f>J34+J35</f>
        <v>23.3</v>
      </c>
    </row>
    <row r="35" ht="15.75" customHeight="1">
      <c r="A35" s="9"/>
      <c r="B35" s="6" t="s">
        <v>9</v>
      </c>
      <c r="F35" s="7">
        <v>2.5</v>
      </c>
      <c r="G35" s="7">
        <v>4.3</v>
      </c>
      <c r="H35" s="7">
        <v>3.5</v>
      </c>
      <c r="J35" s="8">
        <f t="shared" si="1"/>
        <v>10.3</v>
      </c>
    </row>
    <row r="36" ht="15.75" customHeight="1">
      <c r="A36" s="13">
        <v>45979.0</v>
      </c>
      <c r="B36" s="6" t="s">
        <v>8</v>
      </c>
      <c r="F36" s="7">
        <v>3.0</v>
      </c>
      <c r="G36" s="7">
        <v>4.0</v>
      </c>
      <c r="H36" s="7">
        <v>3.5</v>
      </c>
      <c r="J36" s="8">
        <f t="shared" si="1"/>
        <v>10.5</v>
      </c>
      <c r="K36" s="8">
        <f>J36+J37</f>
        <v>20.7</v>
      </c>
    </row>
    <row r="37" ht="15.75" customHeight="1">
      <c r="A37" s="9"/>
      <c r="B37" s="6" t="s">
        <v>9</v>
      </c>
      <c r="F37" s="7">
        <v>3.0</v>
      </c>
      <c r="G37" s="7">
        <v>3.7</v>
      </c>
      <c r="H37" s="7">
        <v>3.5</v>
      </c>
      <c r="J37" s="8">
        <f t="shared" si="1"/>
        <v>10.2</v>
      </c>
    </row>
    <row r="38" ht="15.75" customHeight="1">
      <c r="A38" s="13">
        <v>45980.0</v>
      </c>
      <c r="B38" s="6" t="s">
        <v>8</v>
      </c>
      <c r="C38" s="7">
        <v>2.5</v>
      </c>
      <c r="F38" s="7">
        <v>3.5</v>
      </c>
      <c r="G38" s="7">
        <v>3.7</v>
      </c>
      <c r="H38" s="7">
        <v>4.0</v>
      </c>
      <c r="J38" s="8">
        <f t="shared" si="1"/>
        <v>13.7</v>
      </c>
      <c r="K38" s="8">
        <f>J38+J39</f>
        <v>22.6</v>
      </c>
    </row>
    <row r="39" ht="15.75" customHeight="1">
      <c r="A39" s="9"/>
      <c r="B39" s="6" t="s">
        <v>9</v>
      </c>
      <c r="F39" s="7">
        <v>2.4</v>
      </c>
      <c r="G39" s="7">
        <v>3.5</v>
      </c>
      <c r="H39" s="7">
        <v>3.0</v>
      </c>
      <c r="J39" s="8">
        <f t="shared" si="1"/>
        <v>8.9</v>
      </c>
    </row>
    <row r="40" ht="15.75" customHeight="1">
      <c r="A40" s="13">
        <v>45981.0</v>
      </c>
      <c r="B40" s="6" t="s">
        <v>8</v>
      </c>
      <c r="C40" s="7">
        <v>2.5</v>
      </c>
      <c r="F40" s="7">
        <v>3.5</v>
      </c>
      <c r="G40" s="7">
        <v>4.8</v>
      </c>
      <c r="H40" s="7">
        <v>3.5</v>
      </c>
      <c r="J40" s="8">
        <f t="shared" si="1"/>
        <v>14.3</v>
      </c>
      <c r="K40" s="8">
        <f>J40+J41</f>
        <v>24.8</v>
      </c>
    </row>
    <row r="41" ht="15.75" customHeight="1">
      <c r="A41" s="9"/>
      <c r="B41" s="6" t="s">
        <v>9</v>
      </c>
      <c r="F41" s="7">
        <v>3.8</v>
      </c>
      <c r="G41" s="7">
        <v>3.9</v>
      </c>
      <c r="H41" s="7">
        <v>2.8</v>
      </c>
      <c r="J41" s="8">
        <f t="shared" si="1"/>
        <v>10.5</v>
      </c>
    </row>
    <row r="42" ht="15.75" customHeight="1">
      <c r="A42" s="13">
        <v>45982.0</v>
      </c>
      <c r="B42" s="6" t="s">
        <v>8</v>
      </c>
      <c r="C42" s="7">
        <v>1.5</v>
      </c>
      <c r="F42" s="7">
        <v>2.7</v>
      </c>
      <c r="G42" s="7">
        <v>4.7</v>
      </c>
      <c r="H42" s="7">
        <v>4.5</v>
      </c>
      <c r="J42" s="8">
        <f t="shared" si="1"/>
        <v>13.4</v>
      </c>
      <c r="K42" s="8">
        <f>J42+J43</f>
        <v>20.6</v>
      </c>
    </row>
    <row r="43" ht="15.75" customHeight="1">
      <c r="A43" s="9"/>
      <c r="B43" s="6" t="s">
        <v>9</v>
      </c>
      <c r="F43" s="7">
        <v>2.7</v>
      </c>
      <c r="G43" s="7">
        <v>3.0</v>
      </c>
      <c r="H43" s="7">
        <v>1.5</v>
      </c>
      <c r="J43" s="8">
        <f t="shared" si="1"/>
        <v>7.2</v>
      </c>
    </row>
    <row r="44" ht="15.75" customHeight="1">
      <c r="A44" s="13">
        <v>45983.0</v>
      </c>
      <c r="B44" s="6" t="s">
        <v>8</v>
      </c>
      <c r="C44" s="7">
        <v>3.5</v>
      </c>
      <c r="F44" s="7">
        <v>2.2</v>
      </c>
      <c r="G44" s="7">
        <v>4.5</v>
      </c>
      <c r="H44" s="7">
        <v>2.5</v>
      </c>
      <c r="J44" s="8">
        <f t="shared" si="1"/>
        <v>12.7</v>
      </c>
      <c r="K44" s="8">
        <f>J44+J45</f>
        <v>20.7</v>
      </c>
    </row>
    <row r="45" ht="15.75" customHeight="1">
      <c r="A45" s="9"/>
      <c r="B45" s="6" t="s">
        <v>9</v>
      </c>
      <c r="F45" s="7">
        <v>2.0</v>
      </c>
      <c r="G45" s="7">
        <v>3.0</v>
      </c>
      <c r="H45" s="7">
        <v>3.0</v>
      </c>
      <c r="J45" s="8">
        <f t="shared" si="1"/>
        <v>8</v>
      </c>
    </row>
    <row r="46" ht="15.75" customHeight="1">
      <c r="A46" s="13">
        <v>45984.0</v>
      </c>
      <c r="B46" s="6" t="s">
        <v>8</v>
      </c>
      <c r="C46" s="7">
        <v>2.7</v>
      </c>
      <c r="F46" s="7">
        <v>3.0</v>
      </c>
      <c r="G46" s="7">
        <v>4.8</v>
      </c>
      <c r="H46" s="7">
        <v>3.7</v>
      </c>
      <c r="J46" s="8">
        <f t="shared" si="1"/>
        <v>14.2</v>
      </c>
      <c r="K46" s="8">
        <f>J46+J47</f>
        <v>21.7</v>
      </c>
    </row>
    <row r="47" ht="15.75" customHeight="1">
      <c r="A47" s="9"/>
      <c r="B47" s="6" t="s">
        <v>9</v>
      </c>
      <c r="F47" s="7">
        <v>2.5</v>
      </c>
      <c r="G47" s="7">
        <v>3.0</v>
      </c>
      <c r="H47" s="7">
        <v>2.0</v>
      </c>
      <c r="J47" s="8">
        <f t="shared" si="1"/>
        <v>7.5</v>
      </c>
    </row>
    <row r="48" ht="15.75" customHeight="1">
      <c r="A48" s="13">
        <v>45985.0</v>
      </c>
      <c r="B48" s="6" t="s">
        <v>8</v>
      </c>
      <c r="C48" s="7">
        <v>2.5</v>
      </c>
      <c r="F48" s="7">
        <v>3.5</v>
      </c>
      <c r="G48" s="7">
        <v>5.0</v>
      </c>
      <c r="H48" s="7">
        <v>3.0</v>
      </c>
      <c r="J48" s="8">
        <f t="shared" si="1"/>
        <v>14</v>
      </c>
      <c r="K48" s="8">
        <f>J48+J49</f>
        <v>22.5</v>
      </c>
    </row>
    <row r="49" ht="15.75" customHeight="1">
      <c r="A49" s="9"/>
      <c r="B49" s="6" t="s">
        <v>9</v>
      </c>
      <c r="F49" s="7">
        <v>2.0</v>
      </c>
      <c r="G49" s="7">
        <v>4.0</v>
      </c>
      <c r="H49" s="7">
        <v>2.5</v>
      </c>
      <c r="J49" s="8">
        <f t="shared" si="1"/>
        <v>8.5</v>
      </c>
    </row>
    <row r="50" ht="15.75" customHeight="1">
      <c r="A50" s="13">
        <v>45986.0</v>
      </c>
      <c r="B50" s="6" t="s">
        <v>8</v>
      </c>
      <c r="C50" s="7">
        <v>2.5</v>
      </c>
      <c r="F50" s="7">
        <v>2.5</v>
      </c>
      <c r="G50" s="7">
        <v>4.0</v>
      </c>
      <c r="H50" s="7">
        <v>1.5</v>
      </c>
      <c r="J50" s="8">
        <f t="shared" si="1"/>
        <v>10.5</v>
      </c>
      <c r="K50" s="8">
        <f>J50+J51</f>
        <v>17.9</v>
      </c>
    </row>
    <row r="51" ht="15.75" customHeight="1">
      <c r="A51" s="9"/>
      <c r="B51" s="6" t="s">
        <v>9</v>
      </c>
      <c r="F51" s="7">
        <v>2.4</v>
      </c>
      <c r="G51" s="7">
        <v>3.5</v>
      </c>
      <c r="H51" s="7">
        <v>1.5</v>
      </c>
      <c r="J51" s="8">
        <f t="shared" si="1"/>
        <v>7.4</v>
      </c>
    </row>
    <row r="52" ht="15.75" customHeight="1">
      <c r="A52" s="13">
        <v>45987.0</v>
      </c>
      <c r="B52" s="6" t="s">
        <v>8</v>
      </c>
      <c r="C52" s="7">
        <v>3.4</v>
      </c>
      <c r="F52" s="7">
        <v>2.5</v>
      </c>
      <c r="G52" s="7">
        <v>3.5</v>
      </c>
      <c r="H52" s="7">
        <v>1.8</v>
      </c>
      <c r="J52" s="8">
        <f t="shared" si="1"/>
        <v>11.2</v>
      </c>
      <c r="K52" s="8">
        <f>J53+J52</f>
        <v>17.5</v>
      </c>
    </row>
    <row r="53" ht="15.75" customHeight="1">
      <c r="A53" s="9"/>
      <c r="B53" s="6" t="s">
        <v>9</v>
      </c>
      <c r="F53" s="7">
        <v>1.8</v>
      </c>
      <c r="G53" s="7">
        <v>3.0</v>
      </c>
      <c r="H53" s="7">
        <v>1.5</v>
      </c>
      <c r="J53" s="8">
        <f t="shared" si="1"/>
        <v>6.3</v>
      </c>
    </row>
    <row r="54" ht="15.75" customHeight="1">
      <c r="A54" s="13">
        <v>45988.0</v>
      </c>
      <c r="B54" s="6" t="s">
        <v>8</v>
      </c>
      <c r="C54" s="7">
        <v>2.5</v>
      </c>
      <c r="F54" s="7">
        <v>3.0</v>
      </c>
      <c r="G54" s="7">
        <v>4.0</v>
      </c>
      <c r="H54" s="7">
        <v>2.0</v>
      </c>
      <c r="J54" s="8">
        <f t="shared" si="1"/>
        <v>11.5</v>
      </c>
      <c r="K54" s="8">
        <f>J54+J55</f>
        <v>11.5</v>
      </c>
    </row>
    <row r="55" ht="15.75" customHeight="1">
      <c r="A55" s="9"/>
      <c r="B55" s="6" t="s">
        <v>9</v>
      </c>
      <c r="J55" s="8">
        <f t="shared" si="1"/>
        <v>0</v>
      </c>
    </row>
    <row r="56" ht="15.75" customHeight="1">
      <c r="A56" s="13">
        <v>45989.0</v>
      </c>
      <c r="B56" s="6" t="s">
        <v>8</v>
      </c>
      <c r="C56" s="7">
        <v>2.5</v>
      </c>
      <c r="F56" s="7">
        <v>2.5</v>
      </c>
      <c r="G56" s="7">
        <v>3.8</v>
      </c>
      <c r="H56" s="7">
        <v>3.0</v>
      </c>
      <c r="J56" s="8">
        <f t="shared" si="1"/>
        <v>11.8</v>
      </c>
      <c r="K56" s="8">
        <f>J56+J57</f>
        <v>24.1</v>
      </c>
    </row>
    <row r="57" ht="15.75" customHeight="1">
      <c r="A57" s="9"/>
      <c r="B57" s="6" t="s">
        <v>9</v>
      </c>
      <c r="F57" s="7">
        <v>0.0</v>
      </c>
      <c r="G57" s="7">
        <v>3.5</v>
      </c>
      <c r="H57" s="7">
        <v>0.8</v>
      </c>
      <c r="I57" s="7">
        <v>8.0</v>
      </c>
      <c r="J57" s="8">
        <f t="shared" si="1"/>
        <v>12.3</v>
      </c>
    </row>
    <row r="58" ht="15.75" customHeight="1">
      <c r="A58" s="13">
        <v>45990.0</v>
      </c>
      <c r="B58" s="6" t="s">
        <v>8</v>
      </c>
      <c r="F58" s="7">
        <v>4.0</v>
      </c>
      <c r="G58" s="7">
        <v>4.5</v>
      </c>
      <c r="H58" s="7">
        <v>3.0</v>
      </c>
      <c r="I58" s="7">
        <v>4.0</v>
      </c>
      <c r="J58" s="8">
        <f t="shared" si="1"/>
        <v>15.5</v>
      </c>
      <c r="K58" s="8">
        <f>J58+J59</f>
        <v>23.2</v>
      </c>
    </row>
    <row r="59" ht="15.75" customHeight="1">
      <c r="A59" s="9"/>
      <c r="B59" s="6" t="s">
        <v>9</v>
      </c>
      <c r="F59" s="7">
        <v>1.5</v>
      </c>
      <c r="G59" s="7">
        <v>3.0</v>
      </c>
      <c r="H59" s="7">
        <v>0.7</v>
      </c>
      <c r="I59" s="7">
        <v>2.5</v>
      </c>
      <c r="J59" s="8">
        <f t="shared" si="1"/>
        <v>7.7</v>
      </c>
    </row>
    <row r="60" ht="15.75" customHeight="1">
      <c r="A60" s="13">
        <v>45991.0</v>
      </c>
      <c r="B60" s="6" t="s">
        <v>8</v>
      </c>
      <c r="C60" s="7">
        <v>2.2</v>
      </c>
      <c r="F60" s="7">
        <v>2.3</v>
      </c>
      <c r="G60" s="7">
        <v>3.7</v>
      </c>
      <c r="H60" s="7">
        <v>1.6</v>
      </c>
      <c r="I60" s="7">
        <v>2.3</v>
      </c>
      <c r="J60" s="8">
        <f t="shared" si="1"/>
        <v>12.1</v>
      </c>
      <c r="K60" s="8">
        <f>J60+J61</f>
        <v>25.1</v>
      </c>
    </row>
    <row r="61" ht="15.75" customHeight="1">
      <c r="A61" s="9"/>
      <c r="B61" s="6" t="s">
        <v>9</v>
      </c>
      <c r="F61" s="7">
        <v>2.5</v>
      </c>
      <c r="G61" s="7">
        <v>4.0</v>
      </c>
      <c r="H61" s="7">
        <v>3.5</v>
      </c>
      <c r="I61" s="7">
        <v>3.0</v>
      </c>
      <c r="J61" s="8">
        <f t="shared" si="1"/>
        <v>13</v>
      </c>
    </row>
    <row r="62" ht="15.75" customHeight="1">
      <c r="A62" s="13"/>
      <c r="B62" s="6" t="s">
        <v>8</v>
      </c>
      <c r="J62" s="8">
        <f t="shared" si="1"/>
        <v>0</v>
      </c>
      <c r="K62" s="8">
        <f>J62+J63</f>
        <v>0</v>
      </c>
    </row>
    <row r="63" ht="15.75" customHeight="1">
      <c r="A63" s="9"/>
      <c r="B63" s="6" t="s">
        <v>9</v>
      </c>
      <c r="J63" s="8">
        <f t="shared" si="1"/>
        <v>0</v>
      </c>
    </row>
    <row r="64" ht="15.75" customHeight="1"/>
    <row r="65" ht="15.75" customHeight="1">
      <c r="A65" s="10"/>
    </row>
    <row r="66" ht="15.75" customHeight="1"/>
    <row r="67" ht="15.75" customHeight="1">
      <c r="A67" s="10"/>
    </row>
    <row r="68" ht="15.75" customHeight="1"/>
    <row r="69" ht="15.75" customHeight="1">
      <c r="A69" s="10"/>
    </row>
    <row r="70" ht="15.75" customHeight="1"/>
    <row r="71" ht="15.75" customHeight="1">
      <c r="A71" s="10"/>
    </row>
    <row r="72" ht="15.75" customHeight="1"/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65:A66"/>
    <mergeCell ref="A67:A68"/>
    <mergeCell ref="A69:A70"/>
    <mergeCell ref="A71:A72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602.2</v>
      </c>
    </row>
    <row r="4">
      <c r="A4" s="7" t="s">
        <v>2</v>
      </c>
      <c r="B4" s="8">
        <f>sum(' November '!C2:C63)</f>
        <v>92.6</v>
      </c>
    </row>
    <row r="5">
      <c r="A5" s="7" t="s">
        <v>3</v>
      </c>
      <c r="B5" s="8">
        <f>sum(' November '!D2:D62)</f>
        <v>0</v>
      </c>
    </row>
    <row r="6">
      <c r="A6" s="7" t="s">
        <v>4</v>
      </c>
      <c r="B6" s="8">
        <f>sum(' November '!E2:E63)</f>
        <v>4</v>
      </c>
    </row>
    <row r="7">
      <c r="A7" s="7" t="s">
        <v>5</v>
      </c>
      <c r="B7" s="8">
        <f>sum(' November '!F2:F63)</f>
        <v>166.5</v>
      </c>
    </row>
    <row r="8">
      <c r="A8" s="7" t="s">
        <v>11</v>
      </c>
      <c r="B8" s="8">
        <f>sum(' November '!G2:G63)</f>
        <v>237.9</v>
      </c>
    </row>
    <row r="9">
      <c r="A9" s="7" t="s">
        <v>12</v>
      </c>
      <c r="B9" s="8">
        <f>sum(' November '!H2:H63)</f>
        <v>81.4</v>
      </c>
    </row>
    <row r="10">
      <c r="A10" s="7" t="s">
        <v>38</v>
      </c>
      <c r="B10" s="8">
        <f>sum(' November '!I3:I64)</f>
        <v>19.8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0" width="14.86"/>
    <col customWidth="1" min="11" max="11" width="17.71"/>
    <col customWidth="1" min="12" max="12" width="8.71"/>
    <col customWidth="1" min="13" max="13" width="20.29"/>
    <col customWidth="1" min="14" max="14" width="16.71"/>
    <col customWidth="1" min="15" max="15" width="15.57"/>
    <col customWidth="1" min="16" max="28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39</v>
      </c>
      <c r="J1" s="2" t="s">
        <v>6</v>
      </c>
      <c r="K1" s="3" t="s">
        <v>21</v>
      </c>
      <c r="L1" s="4"/>
      <c r="M1" s="11" t="s">
        <v>22</v>
      </c>
      <c r="N1" s="11" t="s">
        <v>23</v>
      </c>
      <c r="O1" s="11" t="s">
        <v>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3">
        <v>45992.0</v>
      </c>
      <c r="B2" s="6" t="s">
        <v>8</v>
      </c>
      <c r="C2" s="7">
        <v>1.5</v>
      </c>
      <c r="F2" s="7">
        <v>3.0</v>
      </c>
      <c r="G2" s="7">
        <v>3.8</v>
      </c>
      <c r="H2" s="7">
        <v>3.0</v>
      </c>
      <c r="I2" s="7">
        <v>3.0</v>
      </c>
      <c r="J2" s="8">
        <f t="shared" ref="J2:J63" si="1">SUM(C2:I2)</f>
        <v>14.3</v>
      </c>
      <c r="K2" s="8">
        <f>J2+J3</f>
        <v>24.6</v>
      </c>
      <c r="O2" s="8">
        <f t="shared" ref="O2:O40" si="2">J2-M2-N2</f>
        <v>14.3</v>
      </c>
    </row>
    <row r="3">
      <c r="A3" s="9"/>
      <c r="B3" s="6" t="s">
        <v>9</v>
      </c>
      <c r="F3" s="7">
        <v>3.0</v>
      </c>
      <c r="G3" s="7">
        <v>3.8</v>
      </c>
      <c r="H3" s="7">
        <v>1.5</v>
      </c>
      <c r="I3" s="7">
        <v>2.0</v>
      </c>
      <c r="J3" s="8">
        <f t="shared" si="1"/>
        <v>10.3</v>
      </c>
      <c r="M3" s="7">
        <v>0.0</v>
      </c>
      <c r="O3" s="8">
        <f t="shared" si="2"/>
        <v>10.3</v>
      </c>
    </row>
    <row r="4">
      <c r="A4" s="13">
        <v>45993.0</v>
      </c>
      <c r="B4" s="6" t="s">
        <v>8</v>
      </c>
      <c r="C4" s="7">
        <v>1.5</v>
      </c>
      <c r="F4" s="7">
        <v>3.4</v>
      </c>
      <c r="G4" s="7">
        <v>3.7</v>
      </c>
      <c r="H4" s="7">
        <v>4.4</v>
      </c>
      <c r="I4" s="7">
        <v>3.3</v>
      </c>
      <c r="J4" s="8">
        <f t="shared" si="1"/>
        <v>16.3</v>
      </c>
      <c r="K4" s="8">
        <f>J4+J5</f>
        <v>26.7</v>
      </c>
      <c r="O4" s="8">
        <f t="shared" si="2"/>
        <v>16.3</v>
      </c>
    </row>
    <row r="5">
      <c r="A5" s="9"/>
      <c r="B5" s="6" t="s">
        <v>9</v>
      </c>
      <c r="F5" s="7">
        <v>3.0</v>
      </c>
      <c r="G5" s="7">
        <v>4.0</v>
      </c>
      <c r="H5" s="7">
        <v>1.4</v>
      </c>
      <c r="I5" s="7">
        <v>2.0</v>
      </c>
      <c r="J5" s="8">
        <f t="shared" si="1"/>
        <v>10.4</v>
      </c>
      <c r="O5" s="8">
        <f t="shared" si="2"/>
        <v>10.4</v>
      </c>
    </row>
    <row r="6">
      <c r="A6" s="13">
        <v>45994.0</v>
      </c>
      <c r="B6" s="6" t="s">
        <v>8</v>
      </c>
      <c r="C6" s="7">
        <v>2.0</v>
      </c>
      <c r="F6" s="7">
        <v>3.3</v>
      </c>
      <c r="G6" s="7">
        <v>4.0</v>
      </c>
      <c r="H6" s="7">
        <v>5.0</v>
      </c>
      <c r="I6" s="7">
        <v>4.5</v>
      </c>
      <c r="J6" s="8">
        <f t="shared" si="1"/>
        <v>18.8</v>
      </c>
      <c r="K6" s="8">
        <f>J6+J7</f>
        <v>27.8</v>
      </c>
      <c r="O6" s="8">
        <f t="shared" si="2"/>
        <v>18.8</v>
      </c>
    </row>
    <row r="7">
      <c r="A7" s="9"/>
      <c r="B7" s="6" t="s">
        <v>9</v>
      </c>
      <c r="F7" s="7">
        <v>2.0</v>
      </c>
      <c r="G7" s="7">
        <v>3.5</v>
      </c>
      <c r="H7" s="7">
        <v>1.0</v>
      </c>
      <c r="I7" s="7">
        <v>2.5</v>
      </c>
      <c r="J7" s="8">
        <f t="shared" si="1"/>
        <v>9</v>
      </c>
      <c r="O7" s="8">
        <f t="shared" si="2"/>
        <v>9</v>
      </c>
    </row>
    <row r="8">
      <c r="A8" s="13">
        <v>45995.0</v>
      </c>
      <c r="B8" s="6" t="s">
        <v>8</v>
      </c>
      <c r="C8" s="7">
        <v>2.0</v>
      </c>
      <c r="F8" s="7">
        <v>2.0</v>
      </c>
      <c r="G8" s="7">
        <v>4.0</v>
      </c>
      <c r="H8" s="7">
        <v>2.0</v>
      </c>
      <c r="I8" s="7">
        <v>3.0</v>
      </c>
      <c r="J8" s="8">
        <f t="shared" si="1"/>
        <v>13</v>
      </c>
      <c r="K8" s="8">
        <f>J8+J9</f>
        <v>23.7</v>
      </c>
      <c r="O8" s="8">
        <f t="shared" si="2"/>
        <v>13</v>
      </c>
    </row>
    <row r="9">
      <c r="A9" s="9"/>
      <c r="B9" s="6" t="s">
        <v>9</v>
      </c>
      <c r="F9" s="7">
        <v>1.8</v>
      </c>
      <c r="G9" s="7">
        <v>3.4</v>
      </c>
      <c r="H9" s="7">
        <v>2.5</v>
      </c>
      <c r="I9" s="7">
        <v>3.0</v>
      </c>
      <c r="J9" s="8">
        <f t="shared" si="1"/>
        <v>10.7</v>
      </c>
      <c r="O9" s="8">
        <f t="shared" si="2"/>
        <v>10.7</v>
      </c>
    </row>
    <row r="10">
      <c r="A10" s="13">
        <v>45996.0</v>
      </c>
      <c r="B10" s="6" t="s">
        <v>8</v>
      </c>
      <c r="C10" s="7">
        <v>2.0</v>
      </c>
      <c r="F10" s="7">
        <v>2.5</v>
      </c>
      <c r="G10" s="7">
        <v>3.7</v>
      </c>
      <c r="H10" s="7">
        <v>1.8</v>
      </c>
      <c r="I10" s="7">
        <v>4.0</v>
      </c>
      <c r="J10" s="8">
        <f t="shared" si="1"/>
        <v>14</v>
      </c>
      <c r="K10" s="8">
        <f>J10+J11</f>
        <v>23.2</v>
      </c>
      <c r="O10" s="8">
        <f t="shared" si="2"/>
        <v>14</v>
      </c>
    </row>
    <row r="11">
      <c r="A11" s="9"/>
      <c r="B11" s="6" t="s">
        <v>9</v>
      </c>
      <c r="F11" s="7">
        <v>2.0</v>
      </c>
      <c r="G11" s="7">
        <v>2.7</v>
      </c>
      <c r="H11" s="7">
        <v>2.0</v>
      </c>
      <c r="I11" s="7">
        <v>2.5</v>
      </c>
      <c r="J11" s="8">
        <f t="shared" si="1"/>
        <v>9.2</v>
      </c>
      <c r="O11" s="8">
        <f t="shared" si="2"/>
        <v>9.2</v>
      </c>
    </row>
    <row r="12">
      <c r="A12" s="13">
        <v>45997.0</v>
      </c>
      <c r="B12" s="6" t="s">
        <v>8</v>
      </c>
      <c r="C12" s="7">
        <v>2.0</v>
      </c>
      <c r="F12" s="7">
        <v>2.5</v>
      </c>
      <c r="G12" s="7">
        <v>3.7</v>
      </c>
      <c r="H12" s="7">
        <v>2.0</v>
      </c>
      <c r="I12" s="7">
        <v>4.0</v>
      </c>
      <c r="J12" s="8">
        <f t="shared" si="1"/>
        <v>14.2</v>
      </c>
      <c r="K12" s="8">
        <f>J12+J13</f>
        <v>22.8</v>
      </c>
      <c r="O12" s="8">
        <f t="shared" si="2"/>
        <v>14.2</v>
      </c>
    </row>
    <row r="13">
      <c r="A13" s="9"/>
      <c r="B13" s="6" t="s">
        <v>9</v>
      </c>
      <c r="F13" s="7">
        <v>1.5</v>
      </c>
      <c r="G13" s="7">
        <v>2.6</v>
      </c>
      <c r="H13" s="7">
        <v>2.0</v>
      </c>
      <c r="I13" s="7">
        <v>2.5</v>
      </c>
      <c r="J13" s="8">
        <f t="shared" si="1"/>
        <v>8.6</v>
      </c>
      <c r="O13" s="8">
        <f t="shared" si="2"/>
        <v>8.6</v>
      </c>
    </row>
    <row r="14">
      <c r="A14" s="13">
        <v>45998.0</v>
      </c>
      <c r="B14" s="6" t="s">
        <v>8</v>
      </c>
      <c r="C14" s="7">
        <v>1.8</v>
      </c>
      <c r="F14" s="7">
        <v>2.5</v>
      </c>
      <c r="G14" s="7">
        <v>3.5</v>
      </c>
      <c r="H14" s="7">
        <v>2.0</v>
      </c>
      <c r="I14" s="7">
        <v>3.5</v>
      </c>
      <c r="J14" s="8">
        <f t="shared" si="1"/>
        <v>13.3</v>
      </c>
      <c r="K14" s="8">
        <f>J14+J15</f>
        <v>22.8</v>
      </c>
      <c r="O14" s="8">
        <f t="shared" si="2"/>
        <v>13.3</v>
      </c>
    </row>
    <row r="15">
      <c r="A15" s="9"/>
      <c r="B15" s="6" t="s">
        <v>9</v>
      </c>
      <c r="F15" s="7">
        <v>2.3</v>
      </c>
      <c r="G15" s="7">
        <v>3.7</v>
      </c>
      <c r="I15" s="7">
        <v>3.5</v>
      </c>
      <c r="J15" s="8">
        <f t="shared" si="1"/>
        <v>9.5</v>
      </c>
      <c r="O15" s="8">
        <f t="shared" si="2"/>
        <v>9.5</v>
      </c>
    </row>
    <row r="16">
      <c r="A16" s="13">
        <v>45999.0</v>
      </c>
      <c r="B16" s="6" t="s">
        <v>8</v>
      </c>
      <c r="C16" s="7">
        <v>2.0</v>
      </c>
      <c r="F16" s="7">
        <v>3.0</v>
      </c>
      <c r="G16" s="7">
        <v>3.5</v>
      </c>
      <c r="H16" s="7">
        <v>3.5</v>
      </c>
      <c r="I16" s="7">
        <v>4.0</v>
      </c>
      <c r="J16" s="8">
        <f t="shared" si="1"/>
        <v>16</v>
      </c>
      <c r="K16" s="8">
        <f>J16+J17</f>
        <v>26.4</v>
      </c>
      <c r="O16" s="8">
        <f t="shared" si="2"/>
        <v>16</v>
      </c>
    </row>
    <row r="17">
      <c r="A17" s="9"/>
      <c r="B17" s="6" t="s">
        <v>9</v>
      </c>
      <c r="F17" s="7">
        <v>2.2</v>
      </c>
      <c r="G17" s="7">
        <v>3.2</v>
      </c>
      <c r="H17" s="7">
        <v>1.5</v>
      </c>
      <c r="I17" s="7">
        <v>3.5</v>
      </c>
      <c r="J17" s="8">
        <f t="shared" si="1"/>
        <v>10.4</v>
      </c>
      <c r="O17" s="8">
        <f t="shared" si="2"/>
        <v>10.4</v>
      </c>
    </row>
    <row r="18">
      <c r="A18" s="13">
        <v>46000.0</v>
      </c>
      <c r="B18" s="6" t="s">
        <v>8</v>
      </c>
      <c r="C18" s="7">
        <v>1.5</v>
      </c>
      <c r="F18" s="7">
        <v>2.5</v>
      </c>
      <c r="G18" s="7">
        <v>4.0</v>
      </c>
      <c r="H18" s="7">
        <v>2.0</v>
      </c>
      <c r="I18" s="7">
        <v>4.0</v>
      </c>
      <c r="J18" s="8">
        <f t="shared" si="1"/>
        <v>14</v>
      </c>
      <c r="K18" s="8">
        <f>J18+J19</f>
        <v>23.2</v>
      </c>
      <c r="O18" s="8">
        <f t="shared" si="2"/>
        <v>14</v>
      </c>
    </row>
    <row r="19">
      <c r="A19" s="9"/>
      <c r="B19" s="6" t="s">
        <v>9</v>
      </c>
      <c r="F19" s="7">
        <v>2.3</v>
      </c>
      <c r="G19" s="7">
        <v>3.4</v>
      </c>
      <c r="I19" s="7">
        <v>3.5</v>
      </c>
      <c r="J19" s="8">
        <f t="shared" si="1"/>
        <v>9.2</v>
      </c>
      <c r="O19" s="8">
        <f t="shared" si="2"/>
        <v>9.2</v>
      </c>
    </row>
    <row r="20">
      <c r="A20" s="13">
        <v>46001.0</v>
      </c>
      <c r="B20" s="6" t="s">
        <v>8</v>
      </c>
      <c r="C20" s="7">
        <v>1.5</v>
      </c>
      <c r="F20" s="7">
        <v>2.6</v>
      </c>
      <c r="G20" s="7">
        <v>3.3</v>
      </c>
      <c r="H20" s="7">
        <v>3.0</v>
      </c>
      <c r="I20" s="7">
        <v>4.5</v>
      </c>
      <c r="J20" s="8">
        <f t="shared" si="1"/>
        <v>14.9</v>
      </c>
      <c r="K20" s="8">
        <f>J20+J21</f>
        <v>24.2</v>
      </c>
      <c r="O20" s="8">
        <f t="shared" si="2"/>
        <v>14.9</v>
      </c>
    </row>
    <row r="21" ht="15.75" customHeight="1">
      <c r="A21" s="9"/>
      <c r="B21" s="6" t="s">
        <v>9</v>
      </c>
      <c r="F21" s="7">
        <v>2.3</v>
      </c>
      <c r="G21" s="7">
        <v>3.5</v>
      </c>
      <c r="H21" s="7">
        <v>1.5</v>
      </c>
      <c r="I21" s="7">
        <v>2.0</v>
      </c>
      <c r="J21" s="8">
        <f t="shared" si="1"/>
        <v>9.3</v>
      </c>
      <c r="O21" s="8">
        <f t="shared" si="2"/>
        <v>9.3</v>
      </c>
    </row>
    <row r="22" ht="15.75" customHeight="1">
      <c r="A22" s="13">
        <v>46002.0</v>
      </c>
      <c r="B22" s="6" t="s">
        <v>8</v>
      </c>
      <c r="C22" s="7">
        <v>1.5</v>
      </c>
      <c r="F22" s="7">
        <v>3.0</v>
      </c>
      <c r="G22" s="7">
        <v>3.5</v>
      </c>
      <c r="H22" s="7">
        <v>3.5</v>
      </c>
      <c r="I22" s="7">
        <v>4.0</v>
      </c>
      <c r="J22" s="8">
        <f t="shared" si="1"/>
        <v>15.5</v>
      </c>
      <c r="K22" s="8">
        <f>J22+J23</f>
        <v>23.2</v>
      </c>
      <c r="O22" s="8">
        <f t="shared" si="2"/>
        <v>15.5</v>
      </c>
    </row>
    <row r="23" ht="15.75" customHeight="1">
      <c r="A23" s="9"/>
      <c r="B23" s="6" t="s">
        <v>9</v>
      </c>
      <c r="F23" s="7">
        <v>1.5</v>
      </c>
      <c r="G23" s="7">
        <v>2.5</v>
      </c>
      <c r="H23" s="7">
        <v>0.7</v>
      </c>
      <c r="I23" s="7">
        <v>3.0</v>
      </c>
      <c r="J23" s="8">
        <f t="shared" si="1"/>
        <v>7.7</v>
      </c>
      <c r="O23" s="8">
        <f t="shared" si="2"/>
        <v>7.7</v>
      </c>
    </row>
    <row r="24" ht="15.75" customHeight="1">
      <c r="A24" s="13">
        <v>46003.0</v>
      </c>
      <c r="B24" s="6" t="s">
        <v>8</v>
      </c>
      <c r="C24" s="7">
        <v>1.5</v>
      </c>
      <c r="F24" s="7">
        <v>3.0</v>
      </c>
      <c r="G24" s="7">
        <v>2.8</v>
      </c>
      <c r="H24" s="7">
        <v>2.7</v>
      </c>
      <c r="I24" s="7">
        <v>3.5</v>
      </c>
      <c r="J24" s="8">
        <f t="shared" si="1"/>
        <v>13.5</v>
      </c>
      <c r="K24" s="8">
        <f>J24+J25</f>
        <v>24.4</v>
      </c>
      <c r="O24" s="8">
        <f t="shared" si="2"/>
        <v>13.5</v>
      </c>
    </row>
    <row r="25" ht="15.75" customHeight="1">
      <c r="A25" s="9"/>
      <c r="B25" s="6" t="s">
        <v>9</v>
      </c>
      <c r="F25" s="7">
        <v>2.5</v>
      </c>
      <c r="G25" s="7">
        <v>3.4</v>
      </c>
      <c r="H25" s="7">
        <v>2.5</v>
      </c>
      <c r="I25" s="7">
        <v>2.5</v>
      </c>
      <c r="J25" s="8">
        <f t="shared" si="1"/>
        <v>10.9</v>
      </c>
      <c r="O25" s="8">
        <f t="shared" si="2"/>
        <v>10.9</v>
      </c>
    </row>
    <row r="26" ht="15.75" customHeight="1">
      <c r="A26" s="13">
        <v>46004.0</v>
      </c>
      <c r="B26" s="6" t="s">
        <v>8</v>
      </c>
      <c r="F26" s="7">
        <v>2.0</v>
      </c>
      <c r="G26" s="7">
        <v>2.6</v>
      </c>
      <c r="H26" s="7">
        <v>1.0</v>
      </c>
      <c r="I26" s="7">
        <v>3.0</v>
      </c>
      <c r="J26" s="8">
        <f t="shared" si="1"/>
        <v>8.6</v>
      </c>
      <c r="K26" s="8">
        <f>J26+J27</f>
        <v>17</v>
      </c>
      <c r="O26" s="8">
        <f t="shared" si="2"/>
        <v>8.6</v>
      </c>
    </row>
    <row r="27" ht="15.75" customHeight="1">
      <c r="A27" s="9"/>
      <c r="B27" s="6" t="s">
        <v>9</v>
      </c>
      <c r="F27" s="7">
        <v>2.0</v>
      </c>
      <c r="G27" s="7">
        <v>2.9</v>
      </c>
      <c r="H27" s="7">
        <v>0.5</v>
      </c>
      <c r="I27" s="7">
        <v>3.0</v>
      </c>
      <c r="J27" s="8">
        <f t="shared" si="1"/>
        <v>8.4</v>
      </c>
      <c r="O27" s="8">
        <f t="shared" si="2"/>
        <v>8.4</v>
      </c>
    </row>
    <row r="28" ht="15.75" customHeight="1">
      <c r="A28" s="13">
        <v>46005.0</v>
      </c>
      <c r="B28" s="6" t="s">
        <v>8</v>
      </c>
      <c r="C28" s="7">
        <v>2.1</v>
      </c>
      <c r="F28" s="7">
        <v>2.1</v>
      </c>
      <c r="G28" s="7">
        <v>3.0</v>
      </c>
      <c r="H28" s="7">
        <v>3.1</v>
      </c>
      <c r="I28" s="7">
        <v>3.5</v>
      </c>
      <c r="J28" s="8">
        <f t="shared" si="1"/>
        <v>13.8</v>
      </c>
      <c r="K28" s="8">
        <f>J28+J29</f>
        <v>22.3</v>
      </c>
      <c r="O28" s="8">
        <f t="shared" si="2"/>
        <v>13.8</v>
      </c>
    </row>
    <row r="29" ht="15.75" customHeight="1">
      <c r="A29" s="9"/>
      <c r="B29" s="6" t="s">
        <v>9</v>
      </c>
      <c r="F29" s="7">
        <v>2.0</v>
      </c>
      <c r="G29" s="7">
        <v>2.5</v>
      </c>
      <c r="H29" s="7">
        <v>1.5</v>
      </c>
      <c r="I29" s="7">
        <v>2.5</v>
      </c>
      <c r="J29" s="8">
        <f t="shared" si="1"/>
        <v>8.5</v>
      </c>
      <c r="O29" s="8">
        <f t="shared" si="2"/>
        <v>8.5</v>
      </c>
    </row>
    <row r="30" ht="15.75" customHeight="1">
      <c r="A30" s="13">
        <v>46006.0</v>
      </c>
      <c r="B30" s="6" t="s">
        <v>8</v>
      </c>
      <c r="C30" s="7">
        <v>1.5</v>
      </c>
      <c r="F30" s="7">
        <v>2.5</v>
      </c>
      <c r="G30" s="7">
        <v>3.5</v>
      </c>
      <c r="H30" s="7">
        <v>2.2</v>
      </c>
      <c r="I30" s="7">
        <v>3.5</v>
      </c>
      <c r="J30" s="8">
        <f t="shared" si="1"/>
        <v>13.2</v>
      </c>
      <c r="K30" s="8">
        <f>J30+J31</f>
        <v>23.2</v>
      </c>
      <c r="O30" s="8">
        <f t="shared" si="2"/>
        <v>13.2</v>
      </c>
    </row>
    <row r="31" ht="15.75" customHeight="1">
      <c r="A31" s="9"/>
      <c r="B31" s="6" t="s">
        <v>9</v>
      </c>
      <c r="F31" s="7">
        <v>2.5</v>
      </c>
      <c r="G31" s="7">
        <v>3.0</v>
      </c>
      <c r="H31" s="7">
        <v>2.0</v>
      </c>
      <c r="I31" s="7">
        <v>2.5</v>
      </c>
      <c r="J31" s="8">
        <f t="shared" si="1"/>
        <v>10</v>
      </c>
      <c r="O31" s="8">
        <f t="shared" si="2"/>
        <v>10</v>
      </c>
    </row>
    <row r="32" ht="15.75" customHeight="1">
      <c r="A32" s="13">
        <v>46007.0</v>
      </c>
      <c r="B32" s="6" t="s">
        <v>8</v>
      </c>
      <c r="C32" s="7">
        <v>1.5</v>
      </c>
      <c r="F32" s="7">
        <v>2.5</v>
      </c>
      <c r="G32" s="7">
        <v>3.7</v>
      </c>
      <c r="H32" s="7">
        <v>1.5</v>
      </c>
      <c r="I32" s="7">
        <v>4.0</v>
      </c>
      <c r="J32" s="8">
        <f t="shared" si="1"/>
        <v>13.2</v>
      </c>
      <c r="K32" s="8">
        <f>J32+J33</f>
        <v>25.2</v>
      </c>
      <c r="M32" s="7">
        <v>7.0</v>
      </c>
      <c r="O32" s="8">
        <f t="shared" si="2"/>
        <v>6.2</v>
      </c>
    </row>
    <row r="33" ht="15.75" customHeight="1">
      <c r="A33" s="9"/>
      <c r="B33" s="6" t="s">
        <v>9</v>
      </c>
      <c r="F33" s="7">
        <v>1.8</v>
      </c>
      <c r="G33" s="7">
        <v>3.0</v>
      </c>
      <c r="H33" s="7">
        <v>4.5</v>
      </c>
      <c r="I33" s="7">
        <v>2.7</v>
      </c>
      <c r="J33" s="8">
        <f t="shared" si="1"/>
        <v>12</v>
      </c>
      <c r="O33" s="8">
        <f t="shared" si="2"/>
        <v>12</v>
      </c>
    </row>
    <row r="34" ht="15.75" customHeight="1">
      <c r="A34" s="13">
        <v>46008.0</v>
      </c>
      <c r="B34" s="6" t="s">
        <v>8</v>
      </c>
      <c r="C34" s="7">
        <v>1.5</v>
      </c>
      <c r="F34" s="7">
        <v>2.5</v>
      </c>
      <c r="G34" s="7">
        <v>2.7</v>
      </c>
      <c r="H34" s="7">
        <v>1.5</v>
      </c>
      <c r="I34" s="7">
        <v>3.5</v>
      </c>
      <c r="J34" s="8">
        <f t="shared" si="1"/>
        <v>11.7</v>
      </c>
      <c r="K34" s="8">
        <f>J34+J35</f>
        <v>22</v>
      </c>
      <c r="O34" s="8">
        <f t="shared" si="2"/>
        <v>11.7</v>
      </c>
    </row>
    <row r="35" ht="15.75" customHeight="1">
      <c r="A35" s="9"/>
      <c r="B35" s="6" t="s">
        <v>9</v>
      </c>
      <c r="F35" s="7">
        <v>2.5</v>
      </c>
      <c r="G35" s="7">
        <v>3.8</v>
      </c>
      <c r="H35" s="7">
        <v>1.5</v>
      </c>
      <c r="I35" s="7">
        <v>2.5</v>
      </c>
      <c r="J35" s="8">
        <f t="shared" si="1"/>
        <v>10.3</v>
      </c>
      <c r="O35" s="8">
        <f t="shared" si="2"/>
        <v>10.3</v>
      </c>
    </row>
    <row r="36" ht="15.75" customHeight="1">
      <c r="A36" s="13">
        <v>46009.0</v>
      </c>
      <c r="B36" s="6" t="s">
        <v>8</v>
      </c>
      <c r="C36" s="7">
        <v>1.7</v>
      </c>
      <c r="F36" s="7">
        <v>3.0</v>
      </c>
      <c r="G36" s="7">
        <v>3.5</v>
      </c>
      <c r="H36" s="7">
        <v>3.0</v>
      </c>
      <c r="I36" s="7">
        <v>4.0</v>
      </c>
      <c r="J36" s="8">
        <f t="shared" si="1"/>
        <v>15.2</v>
      </c>
      <c r="K36" s="8">
        <f>J36+J37</f>
        <v>25.1</v>
      </c>
      <c r="O36" s="8">
        <f t="shared" si="2"/>
        <v>15.2</v>
      </c>
    </row>
    <row r="37" ht="15.75" customHeight="1">
      <c r="A37" s="9"/>
      <c r="B37" s="6" t="s">
        <v>9</v>
      </c>
      <c r="F37" s="7">
        <v>3.0</v>
      </c>
      <c r="G37" s="7">
        <v>3.4</v>
      </c>
      <c r="H37" s="7">
        <v>2.0</v>
      </c>
      <c r="I37" s="7">
        <v>1.5</v>
      </c>
      <c r="J37" s="8">
        <f t="shared" si="1"/>
        <v>9.9</v>
      </c>
      <c r="O37" s="8">
        <f t="shared" si="2"/>
        <v>9.9</v>
      </c>
    </row>
    <row r="38" ht="15.75" customHeight="1">
      <c r="A38" s="13">
        <v>46010.0</v>
      </c>
      <c r="B38" s="6" t="s">
        <v>8</v>
      </c>
      <c r="C38" s="7">
        <v>1.5</v>
      </c>
      <c r="F38" s="7">
        <v>2.6</v>
      </c>
      <c r="G38" s="7">
        <v>4.0</v>
      </c>
      <c r="H38" s="7">
        <v>4.0</v>
      </c>
      <c r="I38" s="7">
        <v>4.0</v>
      </c>
      <c r="J38" s="8">
        <f t="shared" si="1"/>
        <v>16.1</v>
      </c>
      <c r="K38" s="8">
        <f>J38+J39</f>
        <v>24.8</v>
      </c>
      <c r="O38" s="8">
        <f t="shared" si="2"/>
        <v>16.1</v>
      </c>
    </row>
    <row r="39" ht="15.75" customHeight="1">
      <c r="A39" s="9"/>
      <c r="B39" s="6" t="s">
        <v>9</v>
      </c>
      <c r="F39" s="7">
        <v>1.5</v>
      </c>
      <c r="G39" s="7">
        <v>2.7</v>
      </c>
      <c r="H39" s="7">
        <v>1.5</v>
      </c>
      <c r="I39" s="7">
        <v>3.0</v>
      </c>
      <c r="J39" s="8">
        <f t="shared" si="1"/>
        <v>8.7</v>
      </c>
      <c r="O39" s="8">
        <f t="shared" si="2"/>
        <v>8.7</v>
      </c>
    </row>
    <row r="40" ht="15.75" customHeight="1">
      <c r="A40" s="13">
        <v>46011.0</v>
      </c>
      <c r="B40" s="6" t="s">
        <v>8</v>
      </c>
      <c r="C40" s="7">
        <v>1.5</v>
      </c>
      <c r="F40" s="7">
        <v>3.0</v>
      </c>
      <c r="G40" s="7">
        <v>4.0</v>
      </c>
      <c r="H40" s="7">
        <v>2.0</v>
      </c>
      <c r="I40" s="7">
        <v>2.5</v>
      </c>
      <c r="J40" s="8">
        <f t="shared" si="1"/>
        <v>13</v>
      </c>
      <c r="K40" s="8">
        <f>J40+J41</f>
        <v>20</v>
      </c>
      <c r="O40" s="8">
        <f t="shared" si="2"/>
        <v>13</v>
      </c>
    </row>
    <row r="41" ht="15.75" customHeight="1">
      <c r="A41" s="9"/>
      <c r="B41" s="6" t="s">
        <v>9</v>
      </c>
      <c r="F41" s="7">
        <v>2.0</v>
      </c>
      <c r="G41" s="7">
        <v>3.0</v>
      </c>
      <c r="H41" s="7">
        <v>0.5</v>
      </c>
      <c r="I41" s="7">
        <v>1.5</v>
      </c>
      <c r="J41" s="8">
        <f t="shared" si="1"/>
        <v>7</v>
      </c>
    </row>
    <row r="42" ht="15.75" customHeight="1">
      <c r="A42" s="13">
        <v>46012.0</v>
      </c>
      <c r="B42" s="6" t="s">
        <v>8</v>
      </c>
      <c r="C42" s="7">
        <v>1.5</v>
      </c>
      <c r="F42" s="7">
        <v>3.5</v>
      </c>
      <c r="G42" s="7">
        <v>3.0</v>
      </c>
      <c r="H42" s="7">
        <v>3.0</v>
      </c>
      <c r="I42" s="7">
        <v>3.8</v>
      </c>
      <c r="J42" s="8">
        <f t="shared" si="1"/>
        <v>14.8</v>
      </c>
      <c r="K42" s="8">
        <f>J42+J43</f>
        <v>23.7</v>
      </c>
    </row>
    <row r="43" ht="15.75" customHeight="1">
      <c r="A43" s="9"/>
      <c r="B43" s="6" t="s">
        <v>9</v>
      </c>
      <c r="F43" s="7">
        <v>2.2</v>
      </c>
      <c r="G43" s="7">
        <v>2.7</v>
      </c>
      <c r="H43" s="7">
        <v>1.0</v>
      </c>
      <c r="I43" s="7">
        <v>3.0</v>
      </c>
      <c r="J43" s="8">
        <f t="shared" si="1"/>
        <v>8.9</v>
      </c>
    </row>
    <row r="44" ht="15.75" customHeight="1">
      <c r="A44" s="13">
        <v>46013.0</v>
      </c>
      <c r="B44" s="6" t="s">
        <v>8</v>
      </c>
      <c r="C44" s="7">
        <v>1.5</v>
      </c>
      <c r="F44" s="7">
        <v>3.5</v>
      </c>
      <c r="G44" s="7">
        <v>4.0</v>
      </c>
      <c r="H44" s="7">
        <v>1.5</v>
      </c>
      <c r="I44" s="7">
        <v>3.5</v>
      </c>
      <c r="J44" s="8">
        <f t="shared" si="1"/>
        <v>14</v>
      </c>
      <c r="K44" s="8">
        <f>J44+J45</f>
        <v>23.2</v>
      </c>
    </row>
    <row r="45" ht="15.75" customHeight="1">
      <c r="A45" s="9"/>
      <c r="B45" s="6" t="s">
        <v>9</v>
      </c>
      <c r="F45" s="7">
        <v>2.5</v>
      </c>
      <c r="G45" s="7">
        <v>2.7</v>
      </c>
      <c r="H45" s="7">
        <v>1.0</v>
      </c>
      <c r="I45" s="7">
        <v>3.0</v>
      </c>
      <c r="J45" s="8">
        <f t="shared" si="1"/>
        <v>9.2</v>
      </c>
    </row>
    <row r="46" ht="15.75" customHeight="1">
      <c r="A46" s="13">
        <v>46014.0</v>
      </c>
      <c r="B46" s="6" t="s">
        <v>8</v>
      </c>
      <c r="C46" s="7">
        <v>1.5</v>
      </c>
      <c r="F46" s="7">
        <v>3.0</v>
      </c>
      <c r="G46" s="7">
        <v>4.0</v>
      </c>
      <c r="H46" s="7">
        <v>1.5</v>
      </c>
      <c r="I46" s="7">
        <v>4.0</v>
      </c>
      <c r="J46" s="8">
        <f t="shared" si="1"/>
        <v>14</v>
      </c>
      <c r="K46" s="8">
        <f>J46+J47</f>
        <v>23.2</v>
      </c>
    </row>
    <row r="47" ht="15.75" customHeight="1">
      <c r="A47" s="9"/>
      <c r="B47" s="6" t="s">
        <v>9</v>
      </c>
      <c r="F47" s="7">
        <v>2.2</v>
      </c>
      <c r="G47" s="7">
        <v>3.5</v>
      </c>
      <c r="I47" s="7">
        <v>3.5</v>
      </c>
      <c r="J47" s="8">
        <f t="shared" si="1"/>
        <v>9.2</v>
      </c>
    </row>
    <row r="48" ht="15.75" customHeight="1">
      <c r="A48" s="13">
        <v>46015.0</v>
      </c>
      <c r="B48" s="6" t="s">
        <v>8</v>
      </c>
      <c r="C48" s="7">
        <v>1.0</v>
      </c>
      <c r="F48" s="7">
        <v>4.5</v>
      </c>
      <c r="G48" s="7">
        <v>4.3</v>
      </c>
      <c r="H48" s="7">
        <v>3.0</v>
      </c>
      <c r="I48" s="7">
        <v>4.0</v>
      </c>
      <c r="J48" s="8">
        <f t="shared" si="1"/>
        <v>16.8</v>
      </c>
      <c r="K48" s="8">
        <f>J48+J49</f>
        <v>26.8</v>
      </c>
    </row>
    <row r="49" ht="15.75" customHeight="1">
      <c r="A49" s="9"/>
      <c r="B49" s="6" t="s">
        <v>9</v>
      </c>
      <c r="F49" s="7">
        <v>2.5</v>
      </c>
      <c r="G49" s="7">
        <v>4.0</v>
      </c>
      <c r="I49" s="7">
        <v>3.5</v>
      </c>
      <c r="J49" s="8">
        <f t="shared" si="1"/>
        <v>10</v>
      </c>
    </row>
    <row r="50" ht="15.75" customHeight="1">
      <c r="A50" s="13">
        <v>46016.0</v>
      </c>
      <c r="B50" s="6" t="s">
        <v>8</v>
      </c>
      <c r="C50" s="7">
        <v>1.5</v>
      </c>
      <c r="F50" s="7">
        <v>5.0</v>
      </c>
      <c r="G50" s="7">
        <v>4.8</v>
      </c>
      <c r="H50" s="7">
        <v>3.0</v>
      </c>
      <c r="I50" s="7">
        <v>4.0</v>
      </c>
      <c r="J50" s="8">
        <f t="shared" si="1"/>
        <v>18.3</v>
      </c>
      <c r="K50" s="8">
        <f>J50+J51</f>
        <v>29</v>
      </c>
    </row>
    <row r="51" ht="15.75" customHeight="1">
      <c r="A51" s="9"/>
      <c r="B51" s="6" t="s">
        <v>9</v>
      </c>
      <c r="F51" s="7">
        <v>3.4</v>
      </c>
      <c r="G51" s="7">
        <v>3.5</v>
      </c>
      <c r="H51" s="7">
        <v>1.0</v>
      </c>
      <c r="I51" s="7">
        <v>2.8</v>
      </c>
      <c r="J51" s="8">
        <f t="shared" si="1"/>
        <v>10.7</v>
      </c>
    </row>
    <row r="52" ht="15.75" customHeight="1">
      <c r="A52" s="13">
        <v>46017.0</v>
      </c>
      <c r="B52" s="6" t="s">
        <v>8</v>
      </c>
      <c r="C52" s="7">
        <v>1.0</v>
      </c>
      <c r="F52" s="7">
        <v>3.5</v>
      </c>
      <c r="G52" s="7">
        <v>4.5</v>
      </c>
      <c r="H52" s="7">
        <v>2.5</v>
      </c>
      <c r="I52" s="7">
        <v>2.8</v>
      </c>
      <c r="J52" s="8">
        <f t="shared" si="1"/>
        <v>14.3</v>
      </c>
      <c r="K52" s="8">
        <f>J52+J53</f>
        <v>22.3</v>
      </c>
    </row>
    <row r="53" ht="15.75" customHeight="1">
      <c r="A53" s="9"/>
      <c r="B53" s="6" t="s">
        <v>9</v>
      </c>
      <c r="F53" s="7">
        <v>2.5</v>
      </c>
      <c r="G53" s="7">
        <v>3.5</v>
      </c>
      <c r="I53" s="7">
        <v>2.0</v>
      </c>
      <c r="J53" s="8">
        <f t="shared" si="1"/>
        <v>8</v>
      </c>
    </row>
    <row r="54" ht="15.75" customHeight="1">
      <c r="A54" s="13">
        <v>46018.0</v>
      </c>
      <c r="B54" s="6" t="s">
        <v>8</v>
      </c>
      <c r="C54" s="7">
        <v>1.5</v>
      </c>
      <c r="F54" s="7">
        <v>4.4</v>
      </c>
      <c r="G54" s="7">
        <v>5.0</v>
      </c>
      <c r="H54" s="7">
        <v>2.8</v>
      </c>
      <c r="I54" s="7">
        <v>3.0</v>
      </c>
      <c r="J54" s="8">
        <f t="shared" si="1"/>
        <v>16.7</v>
      </c>
      <c r="K54" s="8">
        <f>J54+J55</f>
        <v>28.2</v>
      </c>
    </row>
    <row r="55" ht="15.75" customHeight="1">
      <c r="A55" s="9"/>
      <c r="B55" s="6" t="s">
        <v>9</v>
      </c>
      <c r="F55" s="7">
        <v>3.0</v>
      </c>
      <c r="G55" s="7">
        <v>5.5</v>
      </c>
      <c r="H55" s="7">
        <v>0.5</v>
      </c>
      <c r="I55" s="7">
        <v>2.5</v>
      </c>
      <c r="J55" s="8">
        <f t="shared" si="1"/>
        <v>11.5</v>
      </c>
    </row>
    <row r="56" ht="15.75" customHeight="1">
      <c r="A56" s="13">
        <v>46019.0</v>
      </c>
      <c r="B56" s="6" t="s">
        <v>8</v>
      </c>
      <c r="C56" s="7">
        <v>1.5</v>
      </c>
      <c r="F56" s="7">
        <v>4.5</v>
      </c>
      <c r="G56" s="7">
        <v>5.0</v>
      </c>
      <c r="H56" s="7">
        <v>1.3</v>
      </c>
      <c r="I56" s="7">
        <v>3.0</v>
      </c>
      <c r="J56" s="8">
        <f t="shared" si="1"/>
        <v>15.3</v>
      </c>
      <c r="K56" s="8">
        <f>J56+J57</f>
        <v>25.3</v>
      </c>
    </row>
    <row r="57" ht="15.75" customHeight="1">
      <c r="A57" s="9"/>
      <c r="B57" s="6" t="s">
        <v>9</v>
      </c>
      <c r="F57" s="7">
        <v>3.0</v>
      </c>
      <c r="G57" s="7">
        <v>3.5</v>
      </c>
      <c r="H57" s="7">
        <v>1.0</v>
      </c>
      <c r="I57" s="7">
        <v>2.5</v>
      </c>
      <c r="J57" s="8">
        <f t="shared" si="1"/>
        <v>10</v>
      </c>
    </row>
    <row r="58" ht="15.75" customHeight="1">
      <c r="A58" s="13">
        <v>46020.0</v>
      </c>
      <c r="B58" s="6" t="s">
        <v>8</v>
      </c>
      <c r="C58" s="7">
        <v>1.0</v>
      </c>
      <c r="F58" s="7">
        <v>4.0</v>
      </c>
      <c r="G58" s="7">
        <v>4.0</v>
      </c>
      <c r="H58" s="7">
        <v>2.0</v>
      </c>
      <c r="I58" s="7">
        <v>3.5</v>
      </c>
      <c r="J58" s="8">
        <f t="shared" si="1"/>
        <v>14.5</v>
      </c>
      <c r="K58" s="8">
        <f>J58+J59</f>
        <v>24</v>
      </c>
    </row>
    <row r="59" ht="15.75" customHeight="1">
      <c r="A59" s="9"/>
      <c r="B59" s="6" t="s">
        <v>9</v>
      </c>
      <c r="F59" s="7">
        <v>3.0</v>
      </c>
      <c r="G59" s="7">
        <v>4.0</v>
      </c>
      <c r="I59" s="7">
        <v>2.5</v>
      </c>
      <c r="J59" s="8">
        <f t="shared" si="1"/>
        <v>9.5</v>
      </c>
    </row>
    <row r="60" ht="15.75" customHeight="1">
      <c r="A60" s="13">
        <v>46021.0</v>
      </c>
      <c r="B60" s="6" t="s">
        <v>8</v>
      </c>
      <c r="F60" s="7">
        <v>4.5</v>
      </c>
      <c r="G60" s="7">
        <v>3.0</v>
      </c>
      <c r="H60" s="7">
        <v>1.0</v>
      </c>
      <c r="I60" s="7">
        <v>3.4</v>
      </c>
      <c r="J60" s="8">
        <f t="shared" si="1"/>
        <v>11.9</v>
      </c>
      <c r="K60" s="8">
        <f>J60+J61</f>
        <v>20.9</v>
      </c>
    </row>
    <row r="61" ht="15.75" customHeight="1">
      <c r="A61" s="9"/>
      <c r="B61" s="6" t="s">
        <v>9</v>
      </c>
      <c r="F61" s="7">
        <v>3.0</v>
      </c>
      <c r="G61" s="7">
        <v>3.0</v>
      </c>
      <c r="I61" s="7">
        <v>3.0</v>
      </c>
      <c r="J61" s="8">
        <f t="shared" si="1"/>
        <v>9</v>
      </c>
    </row>
    <row r="62" ht="15.75" customHeight="1">
      <c r="A62" s="13">
        <v>46022.0</v>
      </c>
      <c r="B62" s="6" t="s">
        <v>8</v>
      </c>
      <c r="F62" s="7">
        <v>4.8</v>
      </c>
      <c r="G62" s="7">
        <v>4.8</v>
      </c>
      <c r="H62" s="7">
        <v>4.5</v>
      </c>
      <c r="I62" s="7">
        <v>3.0</v>
      </c>
      <c r="J62" s="8">
        <f t="shared" si="1"/>
        <v>17.1</v>
      </c>
      <c r="K62" s="8">
        <f>J62+J63</f>
        <v>27.1</v>
      </c>
    </row>
    <row r="63" ht="15.75" customHeight="1">
      <c r="A63" s="9"/>
      <c r="B63" s="6" t="s">
        <v>9</v>
      </c>
      <c r="F63" s="7">
        <v>3.5</v>
      </c>
      <c r="G63" s="7">
        <v>3.5</v>
      </c>
      <c r="I63" s="7">
        <v>3.0</v>
      </c>
      <c r="J63" s="8">
        <f t="shared" si="1"/>
        <v>10</v>
      </c>
    </row>
    <row r="64" ht="15.75" customHeight="1"/>
    <row r="65" ht="15.75" customHeight="1">
      <c r="A65" s="10"/>
    </row>
    <row r="66" ht="15.75" customHeight="1"/>
    <row r="67" ht="15.75" customHeight="1">
      <c r="A67" s="10"/>
    </row>
    <row r="68" ht="15.75" customHeight="1"/>
    <row r="69" ht="15.75" customHeight="1">
      <c r="A69" s="10"/>
    </row>
    <row r="70" ht="15.75" customHeight="1"/>
    <row r="71" ht="15.75" customHeight="1">
      <c r="A71" s="10"/>
    </row>
    <row r="72" ht="15.75" customHeight="1"/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65:A66"/>
    <mergeCell ref="A67:A68"/>
    <mergeCell ref="A69:A70"/>
    <mergeCell ref="A71:A72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746.3</v>
      </c>
    </row>
    <row r="4">
      <c r="A4" s="7" t="s">
        <v>2</v>
      </c>
      <c r="B4" s="8">
        <f>sum(December!C2:C63)</f>
        <v>44.1</v>
      </c>
    </row>
    <row r="5">
      <c r="A5" s="7" t="s">
        <v>3</v>
      </c>
      <c r="B5" s="8">
        <f>sum(December!D2:D63)</f>
        <v>0</v>
      </c>
    </row>
    <row r="6">
      <c r="A6" s="7" t="s">
        <v>4</v>
      </c>
      <c r="B6" s="8">
        <f>sum(December!E2:E63)</f>
        <v>0</v>
      </c>
    </row>
    <row r="7">
      <c r="A7" s="7" t="s">
        <v>5</v>
      </c>
      <c r="B7" s="8">
        <f>sum(December!F2:F63)</f>
        <v>173.2</v>
      </c>
    </row>
    <row r="8">
      <c r="A8" s="7" t="s">
        <v>11</v>
      </c>
      <c r="B8" s="8">
        <f>sum(December!G2:G63)</f>
        <v>220.3</v>
      </c>
    </row>
    <row r="9">
      <c r="A9" s="7" t="s">
        <v>12</v>
      </c>
      <c r="B9" s="8">
        <f>sum(December!H2:H63)</f>
        <v>114.4</v>
      </c>
    </row>
    <row r="10">
      <c r="A10" s="7" t="s">
        <v>39</v>
      </c>
      <c r="B10" s="8">
        <f>sum(December!I2:I64)</f>
        <v>194.3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0" width="14.86"/>
    <col customWidth="1" min="11" max="11" width="17.71"/>
    <col customWidth="1" min="12" max="12" width="8.71"/>
    <col customWidth="1" min="13" max="13" width="20.29"/>
    <col customWidth="1" min="14" max="14" width="16.71"/>
    <col customWidth="1" min="15" max="15" width="15.57"/>
    <col customWidth="1" min="16" max="28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39</v>
      </c>
      <c r="J1" s="2" t="s">
        <v>6</v>
      </c>
      <c r="K1" s="3" t="s">
        <v>21</v>
      </c>
      <c r="L1" s="4"/>
      <c r="M1" s="11" t="s">
        <v>22</v>
      </c>
      <c r="N1" s="11" t="s">
        <v>23</v>
      </c>
      <c r="O1" s="11" t="s">
        <v>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3">
        <v>45992.0</v>
      </c>
      <c r="B2" s="6" t="s">
        <v>8</v>
      </c>
      <c r="C2" s="7">
        <v>1.5</v>
      </c>
      <c r="F2" s="7">
        <v>3.5</v>
      </c>
      <c r="G2" s="7">
        <v>5.5</v>
      </c>
      <c r="H2" s="7">
        <v>4.5</v>
      </c>
      <c r="I2" s="7">
        <v>3.5</v>
      </c>
      <c r="J2" s="8">
        <f t="shared" ref="J2:J62" si="1">SUM(C2:I2)</f>
        <v>18.5</v>
      </c>
      <c r="K2" s="8">
        <f>J2+J3</f>
        <v>26.5</v>
      </c>
      <c r="O2" s="8">
        <f t="shared" ref="O2:O40" si="2">J2-M2-N2</f>
        <v>18.5</v>
      </c>
    </row>
    <row r="3">
      <c r="A3" s="9"/>
      <c r="B3" s="6" t="s">
        <v>9</v>
      </c>
      <c r="F3" s="7">
        <v>2.5</v>
      </c>
      <c r="G3" s="7">
        <v>2.5</v>
      </c>
      <c r="I3" s="7">
        <v>3.0</v>
      </c>
      <c r="J3" s="8">
        <f t="shared" si="1"/>
        <v>8</v>
      </c>
      <c r="M3" s="7">
        <v>0.0</v>
      </c>
      <c r="O3" s="8">
        <f t="shared" si="2"/>
        <v>8</v>
      </c>
    </row>
    <row r="4">
      <c r="A4" s="13">
        <v>45993.0</v>
      </c>
      <c r="B4" s="6" t="s">
        <v>8</v>
      </c>
      <c r="C4" s="7">
        <v>1.5</v>
      </c>
      <c r="F4" s="7">
        <v>4.5</v>
      </c>
      <c r="G4" s="7">
        <v>5.3</v>
      </c>
      <c r="H4" s="7">
        <v>4.0</v>
      </c>
      <c r="I4" s="7">
        <v>4.0</v>
      </c>
      <c r="J4" s="8">
        <f t="shared" si="1"/>
        <v>19.3</v>
      </c>
      <c r="K4" s="8">
        <f>J4+J5</f>
        <v>28.6</v>
      </c>
      <c r="O4" s="8">
        <f t="shared" si="2"/>
        <v>19.3</v>
      </c>
    </row>
    <row r="5">
      <c r="A5" s="9"/>
      <c r="B5" s="6" t="s">
        <v>9</v>
      </c>
      <c r="F5" s="7">
        <v>2.3</v>
      </c>
      <c r="G5" s="7">
        <v>4.0</v>
      </c>
      <c r="I5" s="7">
        <v>3.0</v>
      </c>
      <c r="J5" s="8">
        <f t="shared" si="1"/>
        <v>9.3</v>
      </c>
      <c r="O5" s="8">
        <f t="shared" si="2"/>
        <v>9.3</v>
      </c>
    </row>
    <row r="6">
      <c r="A6" s="13">
        <v>45994.0</v>
      </c>
      <c r="B6" s="6" t="s">
        <v>8</v>
      </c>
      <c r="C6" s="7">
        <v>1.5</v>
      </c>
      <c r="F6" s="7">
        <v>4.5</v>
      </c>
      <c r="G6" s="7">
        <v>4.5</v>
      </c>
      <c r="H6" s="7">
        <v>4.4</v>
      </c>
      <c r="I6" s="7">
        <v>4.0</v>
      </c>
      <c r="J6" s="8">
        <f t="shared" si="1"/>
        <v>18.9</v>
      </c>
      <c r="K6" s="8">
        <f>J6+J7</f>
        <v>33.6</v>
      </c>
      <c r="O6" s="8">
        <f t="shared" si="2"/>
        <v>18.9</v>
      </c>
    </row>
    <row r="7">
      <c r="A7" s="9"/>
      <c r="B7" s="6" t="s">
        <v>9</v>
      </c>
      <c r="F7" s="7">
        <v>2.5</v>
      </c>
      <c r="G7" s="7">
        <v>4.0</v>
      </c>
      <c r="H7" s="7">
        <v>5.2</v>
      </c>
      <c r="I7" s="7">
        <v>3.0</v>
      </c>
      <c r="J7" s="8">
        <f t="shared" si="1"/>
        <v>14.7</v>
      </c>
      <c r="O7" s="8">
        <f t="shared" si="2"/>
        <v>14.7</v>
      </c>
    </row>
    <row r="8">
      <c r="A8" s="13">
        <v>45995.0</v>
      </c>
      <c r="B8" s="6" t="s">
        <v>8</v>
      </c>
      <c r="C8" s="7">
        <v>1.5</v>
      </c>
      <c r="F8" s="7">
        <v>4.5</v>
      </c>
      <c r="G8" s="7">
        <v>4.2</v>
      </c>
      <c r="H8" s="7">
        <v>4.4</v>
      </c>
      <c r="I8" s="7">
        <v>4.0</v>
      </c>
      <c r="J8" s="8">
        <f t="shared" si="1"/>
        <v>18.6</v>
      </c>
      <c r="K8" s="8">
        <f>J8+J9</f>
        <v>29.5</v>
      </c>
      <c r="O8" s="8">
        <f t="shared" si="2"/>
        <v>18.6</v>
      </c>
    </row>
    <row r="9">
      <c r="A9" s="9"/>
      <c r="B9" s="6" t="s">
        <v>9</v>
      </c>
      <c r="F9" s="7">
        <v>3.2</v>
      </c>
      <c r="G9" s="7">
        <v>4.5</v>
      </c>
      <c r="I9" s="7">
        <v>3.2</v>
      </c>
      <c r="J9" s="8">
        <f t="shared" si="1"/>
        <v>10.9</v>
      </c>
      <c r="O9" s="8">
        <f t="shared" si="2"/>
        <v>10.9</v>
      </c>
    </row>
    <row r="10">
      <c r="A10" s="13">
        <v>45996.0</v>
      </c>
      <c r="B10" s="6" t="s">
        <v>8</v>
      </c>
      <c r="C10" s="7">
        <v>1.5</v>
      </c>
      <c r="F10" s="7">
        <v>4.0</v>
      </c>
      <c r="G10" s="7">
        <v>4.6</v>
      </c>
      <c r="H10" s="7">
        <v>6.0</v>
      </c>
      <c r="I10" s="7">
        <v>4.5</v>
      </c>
      <c r="J10" s="8">
        <f t="shared" si="1"/>
        <v>20.6</v>
      </c>
      <c r="K10" s="8">
        <f>J10+J11</f>
        <v>31.7</v>
      </c>
      <c r="O10" s="8">
        <f t="shared" si="2"/>
        <v>20.6</v>
      </c>
    </row>
    <row r="11">
      <c r="A11" s="9"/>
      <c r="B11" s="6" t="s">
        <v>9</v>
      </c>
      <c r="F11" s="7">
        <v>3.8</v>
      </c>
      <c r="G11" s="7">
        <v>3.5</v>
      </c>
      <c r="I11" s="7">
        <v>3.8</v>
      </c>
      <c r="J11" s="8">
        <f t="shared" si="1"/>
        <v>11.1</v>
      </c>
      <c r="O11" s="8">
        <f t="shared" si="2"/>
        <v>11.1</v>
      </c>
    </row>
    <row r="12">
      <c r="A12" s="13">
        <v>45997.0</v>
      </c>
      <c r="B12" s="6" t="s">
        <v>8</v>
      </c>
      <c r="F12" s="7">
        <v>4.5</v>
      </c>
      <c r="G12" s="7">
        <v>4.5</v>
      </c>
      <c r="H12" s="7">
        <v>3.9</v>
      </c>
      <c r="I12" s="7">
        <v>4.0</v>
      </c>
      <c r="J12" s="8">
        <f t="shared" si="1"/>
        <v>16.9</v>
      </c>
      <c r="K12" s="8">
        <f>J12+J13</f>
        <v>25.4</v>
      </c>
      <c r="O12" s="8">
        <f t="shared" si="2"/>
        <v>16.9</v>
      </c>
    </row>
    <row r="13">
      <c r="A13" s="9"/>
      <c r="B13" s="6" t="s">
        <v>9</v>
      </c>
      <c r="F13" s="7">
        <v>3.5</v>
      </c>
      <c r="G13" s="7">
        <v>1.0</v>
      </c>
      <c r="I13" s="7">
        <v>4.0</v>
      </c>
      <c r="J13" s="8">
        <f t="shared" si="1"/>
        <v>8.5</v>
      </c>
      <c r="O13" s="8">
        <f t="shared" si="2"/>
        <v>8.5</v>
      </c>
    </row>
    <row r="14">
      <c r="A14" s="13">
        <v>45998.0</v>
      </c>
      <c r="B14" s="6" t="s">
        <v>8</v>
      </c>
      <c r="C14" s="7">
        <v>2.0</v>
      </c>
      <c r="F14" s="7">
        <v>4.0</v>
      </c>
      <c r="G14" s="7">
        <v>4.5</v>
      </c>
      <c r="H14" s="7">
        <v>5.5</v>
      </c>
      <c r="I14" s="7">
        <v>4.0</v>
      </c>
      <c r="J14" s="8">
        <f t="shared" si="1"/>
        <v>20</v>
      </c>
      <c r="K14" s="8">
        <f>J14+J15</f>
        <v>31</v>
      </c>
      <c r="O14" s="8">
        <f t="shared" si="2"/>
        <v>20</v>
      </c>
    </row>
    <row r="15">
      <c r="A15" s="9"/>
      <c r="B15" s="6" t="s">
        <v>9</v>
      </c>
      <c r="F15" s="7">
        <v>3.0</v>
      </c>
      <c r="G15" s="7">
        <v>4.0</v>
      </c>
      <c r="H15" s="7"/>
      <c r="I15" s="7">
        <v>4.0</v>
      </c>
      <c r="J15" s="8">
        <f t="shared" si="1"/>
        <v>11</v>
      </c>
      <c r="O15" s="8">
        <f t="shared" si="2"/>
        <v>11</v>
      </c>
    </row>
    <row r="16">
      <c r="A16" s="13">
        <v>45999.0</v>
      </c>
      <c r="B16" s="6" t="s">
        <v>8</v>
      </c>
      <c r="C16" s="7">
        <v>0.5</v>
      </c>
      <c r="F16" s="7">
        <v>4.0</v>
      </c>
      <c r="G16" s="7">
        <v>5.0</v>
      </c>
      <c r="H16" s="7">
        <v>4.0</v>
      </c>
      <c r="I16" s="7">
        <v>4.0</v>
      </c>
      <c r="J16" s="8">
        <f t="shared" si="1"/>
        <v>17.5</v>
      </c>
      <c r="K16" s="8">
        <f>J16+J17</f>
        <v>31</v>
      </c>
      <c r="O16" s="8">
        <f t="shared" si="2"/>
        <v>17.5</v>
      </c>
    </row>
    <row r="17">
      <c r="A17" s="9"/>
      <c r="B17" s="6" t="s">
        <v>9</v>
      </c>
      <c r="F17" s="7">
        <v>4.0</v>
      </c>
      <c r="G17" s="7">
        <v>4.0</v>
      </c>
      <c r="H17" s="7">
        <v>1.5</v>
      </c>
      <c r="I17" s="7">
        <v>4.0</v>
      </c>
      <c r="J17" s="8">
        <f t="shared" si="1"/>
        <v>13.5</v>
      </c>
      <c r="O17" s="8">
        <f t="shared" si="2"/>
        <v>13.5</v>
      </c>
    </row>
    <row r="18">
      <c r="A18" s="13">
        <v>46000.0</v>
      </c>
      <c r="B18" s="6" t="s">
        <v>8</v>
      </c>
      <c r="C18" s="7">
        <v>1.0</v>
      </c>
      <c r="F18" s="7">
        <v>4.0</v>
      </c>
      <c r="G18" s="7">
        <v>5.0</v>
      </c>
      <c r="H18" s="7">
        <v>5.0</v>
      </c>
      <c r="I18" s="7">
        <v>4.0</v>
      </c>
      <c r="J18" s="8">
        <f t="shared" si="1"/>
        <v>19</v>
      </c>
      <c r="K18" s="8">
        <f>J18+J19</f>
        <v>31</v>
      </c>
      <c r="O18" s="8">
        <f t="shared" si="2"/>
        <v>19</v>
      </c>
    </row>
    <row r="19">
      <c r="A19" s="9"/>
      <c r="B19" s="6" t="s">
        <v>9</v>
      </c>
      <c r="F19" s="7">
        <v>4.5</v>
      </c>
      <c r="G19" s="7">
        <v>4.5</v>
      </c>
      <c r="H19" s="7">
        <v>1.0</v>
      </c>
      <c r="I19" s="7">
        <v>2.0</v>
      </c>
      <c r="J19" s="8">
        <f t="shared" si="1"/>
        <v>12</v>
      </c>
      <c r="O19" s="8">
        <f t="shared" si="2"/>
        <v>12</v>
      </c>
    </row>
    <row r="20">
      <c r="A20" s="13">
        <v>46001.0</v>
      </c>
      <c r="B20" s="6" t="s">
        <v>8</v>
      </c>
      <c r="C20" s="7">
        <v>1.4</v>
      </c>
      <c r="F20" s="7">
        <v>4.0</v>
      </c>
      <c r="G20" s="7">
        <v>5.8</v>
      </c>
      <c r="H20" s="7">
        <v>3.5</v>
      </c>
      <c r="I20" s="7">
        <v>6.5</v>
      </c>
      <c r="J20" s="8">
        <f t="shared" si="1"/>
        <v>21.2</v>
      </c>
      <c r="K20" s="8">
        <f>J20+J21</f>
        <v>32.7</v>
      </c>
      <c r="O20" s="8">
        <f t="shared" si="2"/>
        <v>21.2</v>
      </c>
    </row>
    <row r="21" ht="15.75" customHeight="1">
      <c r="A21" s="9"/>
      <c r="B21" s="6" t="s">
        <v>9</v>
      </c>
      <c r="F21" s="7">
        <v>3.5</v>
      </c>
      <c r="G21" s="7">
        <v>4.0</v>
      </c>
      <c r="I21" s="7">
        <v>4.0</v>
      </c>
      <c r="J21" s="8">
        <f t="shared" si="1"/>
        <v>11.5</v>
      </c>
      <c r="O21" s="8">
        <f t="shared" si="2"/>
        <v>11.5</v>
      </c>
    </row>
    <row r="22" ht="15.75" customHeight="1">
      <c r="A22" s="13">
        <v>46002.0</v>
      </c>
      <c r="B22" s="6" t="s">
        <v>8</v>
      </c>
      <c r="C22" s="7">
        <v>2.0</v>
      </c>
      <c r="F22" s="7">
        <v>4.0</v>
      </c>
      <c r="G22" s="7">
        <v>4.5</v>
      </c>
      <c r="H22" s="7">
        <v>5.5</v>
      </c>
      <c r="I22" s="7">
        <v>4.0</v>
      </c>
      <c r="J22" s="8">
        <f t="shared" si="1"/>
        <v>20</v>
      </c>
      <c r="K22" s="8">
        <f>J22+J23</f>
        <v>32</v>
      </c>
      <c r="O22" s="8">
        <f t="shared" si="2"/>
        <v>20</v>
      </c>
    </row>
    <row r="23" ht="15.75" customHeight="1">
      <c r="A23" s="9"/>
      <c r="B23" s="6" t="s">
        <v>9</v>
      </c>
      <c r="F23" s="7">
        <v>3.5</v>
      </c>
      <c r="G23" s="7">
        <v>5.0</v>
      </c>
      <c r="I23" s="7">
        <v>3.5</v>
      </c>
      <c r="J23" s="8">
        <f t="shared" si="1"/>
        <v>12</v>
      </c>
      <c r="O23" s="8">
        <f t="shared" si="2"/>
        <v>12</v>
      </c>
    </row>
    <row r="24" ht="15.75" customHeight="1">
      <c r="A24" s="13">
        <v>46003.0</v>
      </c>
      <c r="B24" s="6" t="s">
        <v>8</v>
      </c>
      <c r="C24" s="7">
        <v>1.2</v>
      </c>
      <c r="F24" s="7">
        <v>4.5</v>
      </c>
      <c r="G24" s="7">
        <v>4.8</v>
      </c>
      <c r="H24" s="7">
        <v>5.0</v>
      </c>
      <c r="I24" s="7">
        <v>5.0</v>
      </c>
      <c r="J24" s="8">
        <f t="shared" si="1"/>
        <v>20.5</v>
      </c>
      <c r="K24" s="8">
        <f>J24+J25</f>
        <v>34</v>
      </c>
      <c r="O24" s="8">
        <f t="shared" si="2"/>
        <v>20.5</v>
      </c>
    </row>
    <row r="25" ht="15.75" customHeight="1">
      <c r="A25" s="9"/>
      <c r="B25" s="6" t="s">
        <v>9</v>
      </c>
      <c r="F25" s="7">
        <v>3.5</v>
      </c>
      <c r="G25" s="7">
        <v>5.0</v>
      </c>
      <c r="H25" s="7"/>
      <c r="I25" s="7">
        <v>5.0</v>
      </c>
      <c r="J25" s="8">
        <f t="shared" si="1"/>
        <v>13.5</v>
      </c>
      <c r="O25" s="8">
        <f t="shared" si="2"/>
        <v>13.5</v>
      </c>
    </row>
    <row r="26" ht="15.75" customHeight="1">
      <c r="A26" s="13">
        <v>46004.0</v>
      </c>
      <c r="B26" s="6" t="s">
        <v>8</v>
      </c>
      <c r="C26" s="7">
        <v>1.0</v>
      </c>
      <c r="F26" s="7">
        <v>4.9</v>
      </c>
      <c r="G26" s="7">
        <v>4.0</v>
      </c>
      <c r="H26" s="7">
        <v>4.5</v>
      </c>
      <c r="I26" s="7">
        <v>6.0</v>
      </c>
      <c r="J26" s="8">
        <f t="shared" si="1"/>
        <v>20.4</v>
      </c>
      <c r="K26" s="8">
        <f>J26+J27</f>
        <v>39.6</v>
      </c>
      <c r="O26" s="8">
        <f t="shared" si="2"/>
        <v>20.4</v>
      </c>
    </row>
    <row r="27" ht="15.75" customHeight="1">
      <c r="A27" s="9"/>
      <c r="B27" s="6" t="s">
        <v>9</v>
      </c>
      <c r="F27" s="7">
        <v>4.2</v>
      </c>
      <c r="G27" s="7">
        <v>5.0</v>
      </c>
      <c r="H27" s="7">
        <v>5.2</v>
      </c>
      <c r="I27" s="7">
        <v>4.8</v>
      </c>
      <c r="J27" s="8">
        <f t="shared" si="1"/>
        <v>19.2</v>
      </c>
      <c r="O27" s="8">
        <f t="shared" si="2"/>
        <v>19.2</v>
      </c>
    </row>
    <row r="28" ht="15.75" customHeight="1">
      <c r="A28" s="13">
        <v>46005.0</v>
      </c>
      <c r="B28" s="6" t="s">
        <v>8</v>
      </c>
      <c r="F28" s="7">
        <v>5.0</v>
      </c>
      <c r="G28" s="7">
        <v>5.0</v>
      </c>
      <c r="H28" s="7">
        <v>3.5</v>
      </c>
      <c r="I28" s="7">
        <v>5.0</v>
      </c>
      <c r="J28" s="8">
        <f t="shared" si="1"/>
        <v>18.5</v>
      </c>
      <c r="K28" s="8">
        <f>J28+J29</f>
        <v>34.7</v>
      </c>
      <c r="O28" s="8">
        <f t="shared" si="2"/>
        <v>18.5</v>
      </c>
    </row>
    <row r="29" ht="15.75" customHeight="1">
      <c r="A29" s="9"/>
      <c r="B29" s="6" t="s">
        <v>9</v>
      </c>
      <c r="F29" s="7">
        <v>4.5</v>
      </c>
      <c r="G29" s="7">
        <v>4.5</v>
      </c>
      <c r="H29" s="7">
        <v>2.2</v>
      </c>
      <c r="I29" s="7">
        <v>5.0</v>
      </c>
      <c r="J29" s="8">
        <f t="shared" si="1"/>
        <v>16.2</v>
      </c>
      <c r="O29" s="8">
        <f t="shared" si="2"/>
        <v>16.2</v>
      </c>
    </row>
    <row r="30" ht="15.75" customHeight="1">
      <c r="A30" s="13">
        <v>46006.0</v>
      </c>
      <c r="B30" s="6" t="s">
        <v>8</v>
      </c>
      <c r="F30" s="7">
        <v>5.0</v>
      </c>
      <c r="G30" s="7">
        <v>5.0</v>
      </c>
      <c r="H30" s="7">
        <v>5.0</v>
      </c>
      <c r="I30" s="7">
        <v>5.4</v>
      </c>
      <c r="J30" s="8">
        <f t="shared" si="1"/>
        <v>20.4</v>
      </c>
      <c r="K30" s="8">
        <f>J30+J31</f>
        <v>35.1</v>
      </c>
      <c r="O30" s="8">
        <f t="shared" si="2"/>
        <v>20.4</v>
      </c>
    </row>
    <row r="31" ht="15.75" customHeight="1">
      <c r="A31" s="9"/>
      <c r="B31" s="6" t="s">
        <v>9</v>
      </c>
      <c r="F31" s="7">
        <v>4.5</v>
      </c>
      <c r="G31" s="7">
        <v>5.2</v>
      </c>
      <c r="H31" s="7">
        <v>2.0</v>
      </c>
      <c r="I31" s="7">
        <v>3.0</v>
      </c>
      <c r="J31" s="8">
        <f t="shared" si="1"/>
        <v>14.7</v>
      </c>
      <c r="O31" s="8">
        <f t="shared" si="2"/>
        <v>14.7</v>
      </c>
    </row>
    <row r="32" ht="15.75" customHeight="1">
      <c r="A32" s="13">
        <v>46007.0</v>
      </c>
      <c r="B32" s="6" t="s">
        <v>8</v>
      </c>
      <c r="F32" s="7">
        <v>5.5</v>
      </c>
      <c r="G32" s="7">
        <v>4.8</v>
      </c>
      <c r="H32" s="7">
        <v>6.0</v>
      </c>
      <c r="I32" s="7">
        <v>4.5</v>
      </c>
      <c r="J32" s="8">
        <f t="shared" si="1"/>
        <v>20.8</v>
      </c>
      <c r="K32" s="8">
        <f>J32+J33</f>
        <v>34.3</v>
      </c>
      <c r="M32" s="7"/>
      <c r="O32" s="8">
        <f t="shared" si="2"/>
        <v>20.8</v>
      </c>
    </row>
    <row r="33" ht="15.75" customHeight="1">
      <c r="A33" s="9"/>
      <c r="B33" s="6" t="s">
        <v>9</v>
      </c>
      <c r="F33" s="7">
        <v>5.0</v>
      </c>
      <c r="G33" s="7">
        <v>5.0</v>
      </c>
      <c r="I33" s="7">
        <v>3.5</v>
      </c>
      <c r="J33" s="8">
        <f t="shared" si="1"/>
        <v>13.5</v>
      </c>
      <c r="O33" s="8">
        <f t="shared" si="2"/>
        <v>13.5</v>
      </c>
    </row>
    <row r="34" ht="15.75" customHeight="1">
      <c r="A34" s="13">
        <v>46008.0</v>
      </c>
      <c r="B34" s="6" t="s">
        <v>8</v>
      </c>
      <c r="F34" s="7">
        <v>5.0</v>
      </c>
      <c r="G34" s="7">
        <v>5.0</v>
      </c>
      <c r="H34" s="7">
        <v>7.0</v>
      </c>
      <c r="I34" s="7">
        <v>6.0</v>
      </c>
      <c r="J34" s="8">
        <f t="shared" si="1"/>
        <v>23</v>
      </c>
      <c r="K34" s="8">
        <f>J34+J35</f>
        <v>37</v>
      </c>
      <c r="O34" s="8">
        <f t="shared" si="2"/>
        <v>23</v>
      </c>
    </row>
    <row r="35" ht="15.75" customHeight="1">
      <c r="A35" s="9"/>
      <c r="B35" s="6" t="s">
        <v>9</v>
      </c>
      <c r="F35" s="7">
        <v>5.0</v>
      </c>
      <c r="G35" s="7">
        <v>4.5</v>
      </c>
      <c r="H35" s="7">
        <v>3.5</v>
      </c>
      <c r="I35" s="7">
        <v>1.0</v>
      </c>
      <c r="J35" s="8">
        <f t="shared" si="1"/>
        <v>14</v>
      </c>
      <c r="O35" s="8">
        <f t="shared" si="2"/>
        <v>14</v>
      </c>
    </row>
    <row r="36" ht="15.75" customHeight="1">
      <c r="A36" s="13">
        <v>46009.0</v>
      </c>
      <c r="B36" s="6" t="s">
        <v>8</v>
      </c>
      <c r="F36" s="7">
        <v>5.0</v>
      </c>
      <c r="G36" s="7">
        <v>5.0</v>
      </c>
      <c r="H36" s="7">
        <v>5.0</v>
      </c>
      <c r="I36" s="7">
        <v>5.8</v>
      </c>
      <c r="J36" s="8">
        <f t="shared" si="1"/>
        <v>20.8</v>
      </c>
      <c r="K36" s="8">
        <f>J36+J37</f>
        <v>33.3</v>
      </c>
      <c r="O36" s="8">
        <f t="shared" si="2"/>
        <v>20.8</v>
      </c>
    </row>
    <row r="37" ht="15.75" customHeight="1">
      <c r="A37" s="9"/>
      <c r="B37" s="6" t="s">
        <v>9</v>
      </c>
      <c r="F37" s="7">
        <v>5.0</v>
      </c>
      <c r="G37" s="7">
        <v>4.5</v>
      </c>
      <c r="I37" s="7">
        <v>3.0</v>
      </c>
      <c r="J37" s="8">
        <f t="shared" si="1"/>
        <v>12.5</v>
      </c>
      <c r="O37" s="8">
        <f t="shared" si="2"/>
        <v>12.5</v>
      </c>
    </row>
    <row r="38" ht="15.75" customHeight="1">
      <c r="A38" s="13">
        <v>46010.0</v>
      </c>
      <c r="B38" s="6" t="s">
        <v>8</v>
      </c>
      <c r="F38" s="7">
        <v>5.0</v>
      </c>
      <c r="G38" s="7">
        <v>4.5</v>
      </c>
      <c r="H38" s="7">
        <v>6.5</v>
      </c>
      <c r="I38" s="7">
        <v>3.5</v>
      </c>
      <c r="J38" s="8">
        <f t="shared" si="1"/>
        <v>19.5</v>
      </c>
      <c r="K38" s="8">
        <f>J38+J39</f>
        <v>31.7</v>
      </c>
      <c r="O38" s="8">
        <f t="shared" si="2"/>
        <v>19.5</v>
      </c>
    </row>
    <row r="39" ht="15.75" customHeight="1">
      <c r="A39" s="9"/>
      <c r="B39" s="6" t="s">
        <v>9</v>
      </c>
      <c r="F39" s="7">
        <v>5.0</v>
      </c>
      <c r="G39" s="7">
        <v>4.5</v>
      </c>
      <c r="I39" s="7">
        <v>2.7</v>
      </c>
      <c r="J39" s="8">
        <f t="shared" si="1"/>
        <v>12.2</v>
      </c>
      <c r="O39" s="8">
        <f t="shared" si="2"/>
        <v>12.2</v>
      </c>
    </row>
    <row r="40" ht="15.75" customHeight="1">
      <c r="A40" s="13">
        <v>46011.0</v>
      </c>
      <c r="B40" s="6" t="s">
        <v>8</v>
      </c>
      <c r="F40" s="7">
        <v>5.0</v>
      </c>
      <c r="G40" s="7">
        <v>4.5</v>
      </c>
      <c r="H40" s="7">
        <v>8.0</v>
      </c>
      <c r="I40" s="7">
        <v>4.0</v>
      </c>
      <c r="J40" s="8">
        <f t="shared" si="1"/>
        <v>21.5</v>
      </c>
      <c r="K40" s="8">
        <f>J40+J41</f>
        <v>35.5</v>
      </c>
      <c r="O40" s="8">
        <f t="shared" si="2"/>
        <v>21.5</v>
      </c>
    </row>
    <row r="41" ht="15.75" customHeight="1">
      <c r="A41" s="9"/>
      <c r="B41" s="6" t="s">
        <v>9</v>
      </c>
      <c r="F41" s="7">
        <v>5.0</v>
      </c>
      <c r="G41" s="7">
        <v>4.5</v>
      </c>
      <c r="H41" s="7">
        <v>1.0</v>
      </c>
      <c r="I41" s="7">
        <v>3.5</v>
      </c>
      <c r="J41" s="8">
        <f t="shared" si="1"/>
        <v>14</v>
      </c>
    </row>
    <row r="42" ht="15.75" customHeight="1">
      <c r="A42" s="13">
        <v>46012.0</v>
      </c>
      <c r="B42" s="6" t="s">
        <v>8</v>
      </c>
      <c r="F42" s="7">
        <v>5.0</v>
      </c>
      <c r="G42" s="7">
        <v>4.8</v>
      </c>
      <c r="H42" s="7">
        <v>6.0</v>
      </c>
      <c r="I42" s="7">
        <v>3.5</v>
      </c>
      <c r="J42" s="8">
        <f t="shared" si="1"/>
        <v>19.3</v>
      </c>
      <c r="K42" s="8">
        <f>J42+J43</f>
        <v>33.3</v>
      </c>
    </row>
    <row r="43" ht="15.75" customHeight="1">
      <c r="A43" s="9"/>
      <c r="B43" s="6" t="s">
        <v>9</v>
      </c>
      <c r="F43" s="7">
        <v>5.0</v>
      </c>
      <c r="G43" s="7">
        <v>5.5</v>
      </c>
      <c r="I43" s="7">
        <v>3.5</v>
      </c>
      <c r="J43" s="8">
        <f t="shared" si="1"/>
        <v>14</v>
      </c>
    </row>
    <row r="44" ht="15.75" customHeight="1">
      <c r="A44" s="13">
        <v>46013.0</v>
      </c>
      <c r="B44" s="6" t="s">
        <v>8</v>
      </c>
      <c r="F44" s="7">
        <v>5.5</v>
      </c>
      <c r="G44" s="7">
        <v>5.5</v>
      </c>
      <c r="H44" s="7">
        <v>5.0</v>
      </c>
      <c r="I44" s="7">
        <v>3.0</v>
      </c>
      <c r="J44" s="8">
        <f t="shared" si="1"/>
        <v>19</v>
      </c>
      <c r="K44" s="8">
        <f>J44+J45</f>
        <v>34.7</v>
      </c>
    </row>
    <row r="45" ht="15.75" customHeight="1">
      <c r="A45" s="9"/>
      <c r="B45" s="6" t="s">
        <v>9</v>
      </c>
      <c r="F45" s="7">
        <v>5.5</v>
      </c>
      <c r="G45" s="7">
        <v>5.0</v>
      </c>
      <c r="H45" s="7">
        <v>2.0</v>
      </c>
      <c r="I45" s="7">
        <v>3.2</v>
      </c>
      <c r="J45" s="8">
        <f t="shared" si="1"/>
        <v>15.7</v>
      </c>
    </row>
    <row r="46" ht="15.75" customHeight="1">
      <c r="A46" s="13">
        <v>46014.0</v>
      </c>
      <c r="B46" s="6" t="s">
        <v>8</v>
      </c>
      <c r="F46" s="7">
        <v>5.8</v>
      </c>
      <c r="G46" s="7">
        <v>4.5</v>
      </c>
      <c r="H46" s="7">
        <v>5.0</v>
      </c>
      <c r="I46" s="7">
        <v>3.0</v>
      </c>
      <c r="J46" s="8">
        <f t="shared" si="1"/>
        <v>18.3</v>
      </c>
      <c r="K46" s="8">
        <f>J46+J47</f>
        <v>36.8</v>
      </c>
    </row>
    <row r="47" ht="15.75" customHeight="1">
      <c r="A47" s="9"/>
      <c r="B47" s="6" t="s">
        <v>9</v>
      </c>
      <c r="F47" s="7">
        <v>5.5</v>
      </c>
      <c r="G47" s="7">
        <v>5.0</v>
      </c>
      <c r="H47" s="7">
        <v>5.0</v>
      </c>
      <c r="I47" s="7">
        <v>3.0</v>
      </c>
      <c r="J47" s="8">
        <f t="shared" si="1"/>
        <v>18.5</v>
      </c>
    </row>
    <row r="48" ht="15.75" customHeight="1">
      <c r="A48" s="13">
        <v>46015.0</v>
      </c>
      <c r="B48" s="6" t="s">
        <v>8</v>
      </c>
      <c r="F48" s="7">
        <v>4.5</v>
      </c>
      <c r="G48" s="7">
        <v>5.0</v>
      </c>
      <c r="H48" s="7">
        <v>1.5</v>
      </c>
      <c r="I48" s="7">
        <v>3.0</v>
      </c>
      <c r="J48" s="8">
        <f t="shared" si="1"/>
        <v>14</v>
      </c>
      <c r="K48" s="8">
        <f>J48+J49</f>
        <v>35</v>
      </c>
    </row>
    <row r="49" ht="15.75" customHeight="1">
      <c r="A49" s="9"/>
      <c r="B49" s="6" t="s">
        <v>9</v>
      </c>
      <c r="F49" s="7">
        <v>5.0</v>
      </c>
      <c r="G49" s="7">
        <v>5.0</v>
      </c>
      <c r="H49" s="7">
        <v>6.5</v>
      </c>
      <c r="I49" s="7">
        <v>4.5</v>
      </c>
      <c r="J49" s="8">
        <f t="shared" si="1"/>
        <v>21</v>
      </c>
    </row>
    <row r="50" ht="15.75" customHeight="1">
      <c r="A50" s="13">
        <v>46016.0</v>
      </c>
      <c r="B50" s="6" t="s">
        <v>8</v>
      </c>
      <c r="F50" s="7">
        <v>4.9</v>
      </c>
      <c r="G50" s="7">
        <v>5.0</v>
      </c>
      <c r="H50" s="7">
        <v>6.0</v>
      </c>
      <c r="I50" s="7">
        <v>4.0</v>
      </c>
      <c r="J50" s="8">
        <f t="shared" si="1"/>
        <v>19.9</v>
      </c>
      <c r="K50" s="8">
        <f>J50+J51</f>
        <v>32.9</v>
      </c>
    </row>
    <row r="51" ht="15.75" customHeight="1">
      <c r="A51" s="9"/>
      <c r="B51" s="6" t="s">
        <v>9</v>
      </c>
      <c r="F51" s="7">
        <v>5.0</v>
      </c>
      <c r="G51" s="7">
        <v>5.5</v>
      </c>
      <c r="H51" s="7">
        <v>1.0</v>
      </c>
      <c r="I51" s="7">
        <v>1.5</v>
      </c>
      <c r="J51" s="8">
        <f t="shared" si="1"/>
        <v>13</v>
      </c>
    </row>
    <row r="52" ht="15.75" customHeight="1">
      <c r="A52" s="13">
        <v>46017.0</v>
      </c>
      <c r="B52" s="6" t="s">
        <v>8</v>
      </c>
      <c r="F52" s="7">
        <v>5.0</v>
      </c>
      <c r="G52" s="7">
        <v>5.0</v>
      </c>
      <c r="H52" s="7">
        <v>4.5</v>
      </c>
      <c r="I52" s="7">
        <v>5.5</v>
      </c>
      <c r="J52" s="8">
        <f t="shared" si="1"/>
        <v>20</v>
      </c>
      <c r="K52" s="8">
        <f>J52+J53</f>
        <v>33.5</v>
      </c>
    </row>
    <row r="53" ht="15.75" customHeight="1">
      <c r="A53" s="9"/>
      <c r="B53" s="6" t="s">
        <v>9</v>
      </c>
      <c r="F53" s="7">
        <v>5.0</v>
      </c>
      <c r="G53" s="7">
        <v>5.0</v>
      </c>
      <c r="H53" s="7">
        <v>2.0</v>
      </c>
      <c r="I53" s="7">
        <v>1.5</v>
      </c>
      <c r="J53" s="8">
        <f t="shared" si="1"/>
        <v>13.5</v>
      </c>
    </row>
    <row r="54" ht="15.75" customHeight="1">
      <c r="A54" s="13">
        <v>46018.0</v>
      </c>
      <c r="B54" s="6" t="s">
        <v>8</v>
      </c>
      <c r="F54" s="7">
        <v>5.0</v>
      </c>
      <c r="G54" s="7">
        <v>5.5</v>
      </c>
      <c r="H54" s="7">
        <v>7.0</v>
      </c>
      <c r="I54" s="7">
        <v>5.0</v>
      </c>
      <c r="J54" s="8">
        <f t="shared" si="1"/>
        <v>22.5</v>
      </c>
      <c r="K54" s="8">
        <f>J54+J55</f>
        <v>34.5</v>
      </c>
    </row>
    <row r="55" ht="15.75" customHeight="1">
      <c r="A55" s="9"/>
      <c r="B55" s="6" t="s">
        <v>9</v>
      </c>
      <c r="F55" s="7">
        <v>4.0</v>
      </c>
      <c r="G55" s="7">
        <v>5.0</v>
      </c>
      <c r="H55" s="7">
        <v>1.0</v>
      </c>
      <c r="I55" s="7">
        <v>2.0</v>
      </c>
      <c r="J55" s="8">
        <f t="shared" si="1"/>
        <v>12</v>
      </c>
    </row>
    <row r="56" ht="15.75" customHeight="1">
      <c r="A56" s="13">
        <v>46019.0</v>
      </c>
      <c r="B56" s="6" t="s">
        <v>8</v>
      </c>
      <c r="F56" s="7">
        <v>3.5</v>
      </c>
      <c r="G56" s="7">
        <v>5.5</v>
      </c>
      <c r="H56" s="7">
        <v>7.5</v>
      </c>
      <c r="I56" s="7">
        <v>4.0</v>
      </c>
      <c r="J56" s="8">
        <f t="shared" si="1"/>
        <v>20.5</v>
      </c>
      <c r="K56" s="8">
        <f>J56+J57</f>
        <v>33</v>
      </c>
    </row>
    <row r="57" ht="15.75" customHeight="1">
      <c r="A57" s="9"/>
      <c r="B57" s="6" t="s">
        <v>9</v>
      </c>
      <c r="F57" s="7">
        <v>4.0</v>
      </c>
      <c r="G57" s="7">
        <v>5.0</v>
      </c>
      <c r="I57" s="7">
        <v>3.5</v>
      </c>
      <c r="J57" s="8">
        <f t="shared" si="1"/>
        <v>12.5</v>
      </c>
    </row>
    <row r="58" ht="15.75" customHeight="1">
      <c r="A58" s="13">
        <v>46020.0</v>
      </c>
      <c r="B58" s="6" t="s">
        <v>8</v>
      </c>
      <c r="F58" s="7">
        <v>4.0</v>
      </c>
      <c r="G58" s="7">
        <v>4.5</v>
      </c>
      <c r="H58" s="7">
        <v>4.7</v>
      </c>
      <c r="I58" s="7">
        <v>4.0</v>
      </c>
      <c r="J58" s="8">
        <f t="shared" si="1"/>
        <v>17.2</v>
      </c>
      <c r="K58" s="8">
        <f>J58+J59</f>
        <v>30.1</v>
      </c>
    </row>
    <row r="59" ht="15.75" customHeight="1">
      <c r="A59" s="9"/>
      <c r="B59" s="6" t="s">
        <v>9</v>
      </c>
      <c r="F59" s="7">
        <v>3.7</v>
      </c>
      <c r="G59" s="7">
        <v>4.2</v>
      </c>
      <c r="H59" s="7">
        <v>4.0</v>
      </c>
      <c r="I59" s="7">
        <v>1.0</v>
      </c>
      <c r="J59" s="8">
        <f t="shared" si="1"/>
        <v>12.9</v>
      </c>
    </row>
    <row r="60" ht="15.75" customHeight="1">
      <c r="A60" s="13">
        <v>46021.0</v>
      </c>
      <c r="B60" s="6" t="s">
        <v>8</v>
      </c>
      <c r="F60" s="7">
        <v>4.5</v>
      </c>
      <c r="G60" s="7">
        <v>4.5</v>
      </c>
      <c r="H60" s="7">
        <v>4.5</v>
      </c>
      <c r="I60" s="7">
        <v>5.5</v>
      </c>
      <c r="J60" s="8">
        <f t="shared" si="1"/>
        <v>19</v>
      </c>
      <c r="K60" s="8">
        <f>J60+J61</f>
        <v>32</v>
      </c>
    </row>
    <row r="61" ht="15.75" customHeight="1">
      <c r="A61" s="9"/>
      <c r="B61" s="6" t="s">
        <v>9</v>
      </c>
      <c r="F61" s="7">
        <v>4.5</v>
      </c>
      <c r="G61" s="7">
        <v>5.0</v>
      </c>
      <c r="H61" s="7">
        <v>2.0</v>
      </c>
      <c r="I61" s="7">
        <v>1.5</v>
      </c>
      <c r="J61" s="8">
        <f t="shared" si="1"/>
        <v>13</v>
      </c>
    </row>
    <row r="62" ht="15.75" customHeight="1">
      <c r="A62" s="13">
        <v>46022.0</v>
      </c>
      <c r="B62" s="6" t="s">
        <v>8</v>
      </c>
      <c r="F62" s="7">
        <v>4.5</v>
      </c>
      <c r="G62" s="7">
        <v>5.5</v>
      </c>
      <c r="H62" s="7">
        <v>5.5</v>
      </c>
      <c r="I62" s="7">
        <v>4.5</v>
      </c>
      <c r="J62" s="8">
        <f t="shared" si="1"/>
        <v>20</v>
      </c>
      <c r="K62" s="8">
        <f>J62+J63</f>
        <v>33</v>
      </c>
    </row>
    <row r="63" ht="15.75" customHeight="1">
      <c r="A63" s="9"/>
      <c r="B63" s="6" t="s">
        <v>9</v>
      </c>
      <c r="F63" s="7">
        <v>4.5</v>
      </c>
      <c r="G63" s="7">
        <v>4.5</v>
      </c>
      <c r="H63" s="7">
        <v>3.0</v>
      </c>
      <c r="I63" s="7">
        <v>1.0</v>
      </c>
      <c r="J63" s="7">
        <f>Sum(C63:I63)</f>
        <v>13</v>
      </c>
    </row>
    <row r="64" ht="15.75" customHeight="1">
      <c r="A64" s="14"/>
    </row>
    <row r="65" ht="15.75" customHeight="1">
      <c r="A65" s="14"/>
    </row>
    <row r="66" ht="15.75" customHeight="1">
      <c r="A66" s="14"/>
    </row>
    <row r="67" ht="15.75" customHeight="1">
      <c r="A67" s="14"/>
    </row>
    <row r="68" ht="15.75" customHeight="1">
      <c r="A68" s="14"/>
    </row>
    <row r="69" ht="15.75" customHeight="1">
      <c r="A69" s="14"/>
    </row>
    <row r="70" ht="15.75" customHeight="1">
      <c r="A70" s="10"/>
    </row>
    <row r="71" ht="15.75" customHeight="1"/>
    <row r="72" ht="15.75" customHeight="1">
      <c r="A72" s="10"/>
    </row>
    <row r="73" ht="15.75" customHeight="1"/>
    <row r="74" ht="15.75" customHeight="1">
      <c r="A74" s="10"/>
    </row>
    <row r="75" ht="15.75" customHeight="1"/>
    <row r="76" ht="15.75" customHeight="1">
      <c r="A76" s="10"/>
    </row>
    <row r="77" ht="15.75" customHeight="1"/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70:A71"/>
    <mergeCell ref="A72:A73"/>
    <mergeCell ref="A74:A75"/>
    <mergeCell ref="A76:A77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Sum(B3:B12)</f>
        <v>1017</v>
      </c>
    </row>
    <row r="4">
      <c r="A4" s="7" t="s">
        <v>2</v>
      </c>
      <c r="B4" s="8">
        <f>sum('January 2026'!C2:C63)</f>
        <v>16.6</v>
      </c>
    </row>
    <row r="5">
      <c r="A5" s="7" t="s">
        <v>3</v>
      </c>
      <c r="B5" s="8">
        <f>sum('January 2026'!D2:D63)</f>
        <v>0</v>
      </c>
    </row>
    <row r="6">
      <c r="A6" s="7" t="s">
        <v>4</v>
      </c>
      <c r="B6" s="8">
        <f>sum('January 2026'!E2:E63)</f>
        <v>0</v>
      </c>
    </row>
    <row r="7">
      <c r="A7" s="7" t="s">
        <v>5</v>
      </c>
      <c r="B7" s="8">
        <f>sum('January 2026'!F2:F63)</f>
        <v>272.3</v>
      </c>
    </row>
    <row r="8">
      <c r="A8" s="7" t="s">
        <v>11</v>
      </c>
      <c r="B8" s="8">
        <f>sum('January 2026'!G2:G63)</f>
        <v>289.7</v>
      </c>
    </row>
    <row r="9">
      <c r="A9" s="7" t="s">
        <v>12</v>
      </c>
      <c r="B9" s="8">
        <f>sum('January 2026'!H2:H63)</f>
        <v>206.5</v>
      </c>
    </row>
    <row r="10">
      <c r="A10" s="7" t="s">
        <v>39</v>
      </c>
      <c r="B10" s="8">
        <f>sum('January 2026'!I2:I63)</f>
        <v>231.9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43"/>
    <col customWidth="1" min="3" max="26" width="8.71"/>
  </cols>
  <sheetData>
    <row r="1">
      <c r="A1" s="8" t="s">
        <v>34</v>
      </c>
      <c r="B1" s="8" t="s">
        <v>35</v>
      </c>
    </row>
    <row r="2">
      <c r="A2" s="19" t="s">
        <v>36</v>
      </c>
      <c r="B2" s="20">
        <f>Sum(B3:B13)</f>
        <v>1032.3</v>
      </c>
    </row>
    <row r="4">
      <c r="A4" s="7" t="s">
        <v>2</v>
      </c>
      <c r="B4" s="8">
        <f>sum('Feb 2026'!C2:C63)</f>
        <v>0</v>
      </c>
    </row>
    <row r="5">
      <c r="A5" s="7" t="s">
        <v>3</v>
      </c>
      <c r="B5" s="8">
        <f>sum('Feb 2026'!D2:D63)</f>
        <v>0</v>
      </c>
    </row>
    <row r="6">
      <c r="A6" s="7" t="s">
        <v>4</v>
      </c>
      <c r="B6" s="8">
        <f>sum('Feb 2026'!E2:E63)</f>
        <v>0</v>
      </c>
    </row>
    <row r="7">
      <c r="A7" s="7" t="s">
        <v>5</v>
      </c>
      <c r="B7" s="8">
        <f>sum('Feb 2026'!F2:F63)</f>
        <v>251</v>
      </c>
    </row>
    <row r="8">
      <c r="A8" s="7" t="s">
        <v>11</v>
      </c>
      <c r="B8" s="8">
        <f>sum('Feb 2026'!G2:G63)</f>
        <v>262.1</v>
      </c>
    </row>
    <row r="9">
      <c r="A9" s="7" t="s">
        <v>12</v>
      </c>
      <c r="B9" s="8">
        <f>sum('Feb 2026'!H2:H63)</f>
        <v>183.6</v>
      </c>
    </row>
    <row r="10">
      <c r="A10" s="7" t="s">
        <v>13</v>
      </c>
      <c r="B10" s="8">
        <f>sum('Feb 2026'!I2:I63)</f>
        <v>18.7</v>
      </c>
    </row>
    <row r="11">
      <c r="A11" s="7" t="s">
        <v>14</v>
      </c>
      <c r="B11" s="8">
        <f>sum('Feb 2026'!J2:J63)</f>
        <v>98.5</v>
      </c>
    </row>
    <row r="12">
      <c r="A12" s="7" t="s">
        <v>15</v>
      </c>
      <c r="B12" s="8">
        <f>sum('Feb 2026'!K2:K63)</f>
        <v>98.4</v>
      </c>
    </row>
    <row r="13">
      <c r="A13" s="7" t="s">
        <v>16</v>
      </c>
      <c r="B13" s="8">
        <f>sum('Feb 2026'!L2:L63)</f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3" width="14.86"/>
    <col customWidth="1" min="14" max="14" width="17.71"/>
    <col customWidth="1" min="15" max="15" width="8.71"/>
    <col customWidth="1" min="16" max="16" width="20.29"/>
    <col customWidth="1" min="17" max="17" width="16.71"/>
    <col customWidth="1" min="18" max="18" width="15.57"/>
    <col customWidth="1" min="19" max="31" width="8.71"/>
  </cols>
  <sheetData>
    <row r="1">
      <c r="A1" s="3" t="s">
        <v>10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2" t="s">
        <v>6</v>
      </c>
      <c r="N1" s="3" t="s">
        <v>21</v>
      </c>
      <c r="O1" s="4"/>
      <c r="P1" s="11" t="s">
        <v>22</v>
      </c>
      <c r="Q1" s="11" t="s">
        <v>23</v>
      </c>
      <c r="R1" s="11" t="s">
        <v>24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3">
        <v>46054.0</v>
      </c>
      <c r="B2" s="6" t="s">
        <v>8</v>
      </c>
      <c r="F2" s="7">
        <v>5.0</v>
      </c>
      <c r="G2" s="7">
        <v>5.5</v>
      </c>
      <c r="H2" s="7">
        <v>5.5</v>
      </c>
      <c r="K2" s="7"/>
      <c r="L2" s="7"/>
      <c r="M2" s="8">
        <f t="shared" ref="M2:M62" si="1">SUM(C2:L2)</f>
        <v>16</v>
      </c>
      <c r="N2" s="8">
        <f>M2+M3</f>
        <v>25</v>
      </c>
      <c r="R2" s="8">
        <f t="shared" ref="R2:R40" si="2">M2-P2-Q2</f>
        <v>16</v>
      </c>
    </row>
    <row r="3">
      <c r="A3" s="9"/>
      <c r="B3" s="6" t="s">
        <v>9</v>
      </c>
      <c r="F3" s="7">
        <v>3.5</v>
      </c>
      <c r="G3" s="7">
        <v>4.5</v>
      </c>
      <c r="H3" s="7">
        <v>1.0</v>
      </c>
      <c r="M3" s="8">
        <f t="shared" si="1"/>
        <v>9</v>
      </c>
      <c r="P3" s="7">
        <v>0.0</v>
      </c>
      <c r="R3" s="8">
        <f t="shared" si="2"/>
        <v>9</v>
      </c>
    </row>
    <row r="4">
      <c r="A4" s="13">
        <v>46055.0</v>
      </c>
      <c r="B4" s="6" t="s">
        <v>8</v>
      </c>
      <c r="F4" s="7">
        <v>4.7</v>
      </c>
      <c r="G4" s="7">
        <v>5.0</v>
      </c>
      <c r="H4" s="7">
        <v>5.5</v>
      </c>
      <c r="I4" s="7"/>
      <c r="J4" s="7"/>
      <c r="K4" s="7"/>
      <c r="L4" s="7"/>
      <c r="M4" s="8">
        <f t="shared" si="1"/>
        <v>15.2</v>
      </c>
      <c r="N4" s="8">
        <f>M4+M5</f>
        <v>25.7</v>
      </c>
      <c r="R4" s="8">
        <f t="shared" si="2"/>
        <v>15.2</v>
      </c>
    </row>
    <row r="5">
      <c r="A5" s="9"/>
      <c r="B5" s="6" t="s">
        <v>9</v>
      </c>
      <c r="F5" s="7">
        <v>4.5</v>
      </c>
      <c r="G5" s="7">
        <v>5.0</v>
      </c>
      <c r="H5" s="7">
        <v>1.0</v>
      </c>
      <c r="I5" s="7"/>
      <c r="J5" s="7"/>
      <c r="K5" s="7"/>
      <c r="L5" s="7"/>
      <c r="M5" s="8">
        <f t="shared" si="1"/>
        <v>10.5</v>
      </c>
      <c r="R5" s="8">
        <f t="shared" si="2"/>
        <v>10.5</v>
      </c>
    </row>
    <row r="6">
      <c r="A6" s="13">
        <v>46056.0</v>
      </c>
      <c r="B6" s="6" t="s">
        <v>8</v>
      </c>
      <c r="F6" s="7">
        <v>4.5</v>
      </c>
      <c r="G6" s="7">
        <v>5.0</v>
      </c>
      <c r="H6" s="7">
        <v>4.0</v>
      </c>
      <c r="I6" s="7"/>
      <c r="J6" s="7"/>
      <c r="K6" s="7"/>
      <c r="L6" s="7"/>
      <c r="M6" s="8">
        <f t="shared" si="1"/>
        <v>13.5</v>
      </c>
      <c r="N6" s="8">
        <f>M6+M7</f>
        <v>28.7</v>
      </c>
      <c r="R6" s="8">
        <f t="shared" si="2"/>
        <v>13.5</v>
      </c>
    </row>
    <row r="7">
      <c r="A7" s="9"/>
      <c r="B7" s="6" t="s">
        <v>9</v>
      </c>
      <c r="F7" s="7">
        <v>5.3</v>
      </c>
      <c r="G7" s="7">
        <v>5.4</v>
      </c>
      <c r="H7" s="7">
        <v>4.5</v>
      </c>
      <c r="I7" s="7"/>
      <c r="J7" s="7"/>
      <c r="K7" s="7"/>
      <c r="L7" s="7"/>
      <c r="M7" s="8">
        <f t="shared" si="1"/>
        <v>15.2</v>
      </c>
      <c r="R7" s="8">
        <f t="shared" si="2"/>
        <v>15.2</v>
      </c>
    </row>
    <row r="8">
      <c r="A8" s="13">
        <v>46057.0</v>
      </c>
      <c r="B8" s="6" t="s">
        <v>8</v>
      </c>
      <c r="F8" s="7">
        <v>4.5</v>
      </c>
      <c r="G8" s="7">
        <v>5.5</v>
      </c>
      <c r="H8" s="7">
        <v>5.0</v>
      </c>
      <c r="I8" s="7"/>
      <c r="J8" s="7"/>
      <c r="K8" s="7"/>
      <c r="L8" s="7"/>
      <c r="M8" s="8">
        <f t="shared" si="1"/>
        <v>15</v>
      </c>
      <c r="N8" s="8">
        <f>M8+M9</f>
        <v>26</v>
      </c>
      <c r="R8" s="8">
        <f t="shared" si="2"/>
        <v>15</v>
      </c>
    </row>
    <row r="9">
      <c r="A9" s="9"/>
      <c r="B9" s="6" t="s">
        <v>9</v>
      </c>
      <c r="F9" s="7">
        <v>4.0</v>
      </c>
      <c r="G9" s="7">
        <v>5.0</v>
      </c>
      <c r="H9" s="7">
        <v>2.0</v>
      </c>
      <c r="I9" s="7"/>
      <c r="J9" s="7"/>
      <c r="K9" s="7"/>
      <c r="L9" s="7"/>
      <c r="M9" s="8">
        <f t="shared" si="1"/>
        <v>11</v>
      </c>
      <c r="R9" s="8">
        <f t="shared" si="2"/>
        <v>11</v>
      </c>
    </row>
    <row r="10">
      <c r="A10" s="13">
        <v>46058.0</v>
      </c>
      <c r="B10" s="6" t="s">
        <v>8</v>
      </c>
      <c r="F10" s="7">
        <v>5.0</v>
      </c>
      <c r="G10" s="7">
        <v>5.5</v>
      </c>
      <c r="H10" s="7">
        <v>6.0</v>
      </c>
      <c r="I10" s="7"/>
      <c r="J10" s="7"/>
      <c r="K10" s="7"/>
      <c r="L10" s="7"/>
      <c r="M10" s="8">
        <f t="shared" si="1"/>
        <v>16.5</v>
      </c>
      <c r="N10" s="8">
        <f>M10+M11</f>
        <v>27.5</v>
      </c>
      <c r="R10" s="8">
        <f t="shared" si="2"/>
        <v>16.5</v>
      </c>
    </row>
    <row r="11">
      <c r="A11" s="9"/>
      <c r="B11" s="6" t="s">
        <v>9</v>
      </c>
      <c r="F11" s="7">
        <v>4.0</v>
      </c>
      <c r="G11" s="7">
        <v>5.0</v>
      </c>
      <c r="H11" s="7">
        <v>2.0</v>
      </c>
      <c r="M11" s="8">
        <f t="shared" si="1"/>
        <v>11</v>
      </c>
      <c r="R11" s="8">
        <f t="shared" si="2"/>
        <v>11</v>
      </c>
    </row>
    <row r="12">
      <c r="A12" s="13">
        <v>46059.0</v>
      </c>
      <c r="B12" s="6" t="s">
        <v>8</v>
      </c>
      <c r="F12" s="7">
        <v>5.0</v>
      </c>
      <c r="G12" s="7">
        <v>5.5</v>
      </c>
      <c r="H12" s="7">
        <v>6.5</v>
      </c>
      <c r="I12" s="7"/>
      <c r="J12" s="7"/>
      <c r="K12" s="7"/>
      <c r="L12" s="7"/>
      <c r="M12" s="8">
        <f t="shared" si="1"/>
        <v>17</v>
      </c>
      <c r="N12" s="8">
        <f>M12+M13</f>
        <v>29.5</v>
      </c>
      <c r="R12" s="8">
        <f t="shared" si="2"/>
        <v>17</v>
      </c>
    </row>
    <row r="13">
      <c r="A13" s="9"/>
      <c r="B13" s="6" t="s">
        <v>9</v>
      </c>
      <c r="F13" s="7">
        <v>5.0</v>
      </c>
      <c r="G13" s="7">
        <v>5.0</v>
      </c>
      <c r="H13" s="7">
        <v>2.5</v>
      </c>
      <c r="I13" s="7"/>
      <c r="J13" s="7"/>
      <c r="K13" s="7"/>
      <c r="L13" s="7"/>
      <c r="M13" s="8">
        <f t="shared" si="1"/>
        <v>12.5</v>
      </c>
      <c r="R13" s="8">
        <f t="shared" si="2"/>
        <v>12.5</v>
      </c>
    </row>
    <row r="14">
      <c r="A14" s="13">
        <v>46060.0</v>
      </c>
      <c r="B14" s="6" t="s">
        <v>8</v>
      </c>
      <c r="F14" s="7">
        <v>5.5</v>
      </c>
      <c r="G14" s="7">
        <v>5.0</v>
      </c>
      <c r="H14" s="7">
        <v>4.5</v>
      </c>
      <c r="I14" s="7"/>
      <c r="J14" s="7"/>
      <c r="K14" s="7"/>
      <c r="L14" s="7"/>
      <c r="M14" s="8">
        <f t="shared" si="1"/>
        <v>15</v>
      </c>
      <c r="N14" s="8">
        <f>M14+M15</f>
        <v>27.5</v>
      </c>
      <c r="R14" s="8">
        <f t="shared" si="2"/>
        <v>15</v>
      </c>
    </row>
    <row r="15">
      <c r="A15" s="9"/>
      <c r="B15" s="6" t="s">
        <v>9</v>
      </c>
      <c r="F15" s="7">
        <v>4.5</v>
      </c>
      <c r="G15" s="7">
        <v>5.0</v>
      </c>
      <c r="H15" s="7">
        <v>3.0</v>
      </c>
      <c r="I15" s="7"/>
      <c r="J15" s="7"/>
      <c r="K15" s="7"/>
      <c r="L15" s="7"/>
      <c r="M15" s="8">
        <f t="shared" si="1"/>
        <v>12.5</v>
      </c>
      <c r="R15" s="8">
        <f t="shared" si="2"/>
        <v>12.5</v>
      </c>
    </row>
    <row r="16">
      <c r="A16" s="13">
        <v>46061.0</v>
      </c>
      <c r="B16" s="6" t="s">
        <v>8</v>
      </c>
      <c r="F16" s="7">
        <v>5.0</v>
      </c>
      <c r="G16" s="7">
        <v>5.5</v>
      </c>
      <c r="H16" s="7">
        <v>4.7</v>
      </c>
      <c r="I16" s="7"/>
      <c r="J16" s="7"/>
      <c r="K16" s="7"/>
      <c r="L16" s="7"/>
      <c r="M16" s="8">
        <f t="shared" si="1"/>
        <v>15.2</v>
      </c>
      <c r="N16" s="8">
        <f>M16+M17</f>
        <v>29.2</v>
      </c>
      <c r="R16" s="8">
        <f t="shared" si="2"/>
        <v>15.2</v>
      </c>
    </row>
    <row r="17">
      <c r="A17" s="9"/>
      <c r="B17" s="6" t="s">
        <v>9</v>
      </c>
      <c r="F17" s="7">
        <v>5.5</v>
      </c>
      <c r="G17" s="7">
        <v>5.0</v>
      </c>
      <c r="H17" s="7">
        <v>3.5</v>
      </c>
      <c r="M17" s="8">
        <f t="shared" si="1"/>
        <v>14</v>
      </c>
      <c r="R17" s="8">
        <f t="shared" si="2"/>
        <v>14</v>
      </c>
    </row>
    <row r="18">
      <c r="A18" s="13">
        <v>46062.0</v>
      </c>
      <c r="B18" s="6" t="s">
        <v>8</v>
      </c>
      <c r="F18" s="7">
        <v>4.5</v>
      </c>
      <c r="G18" s="7">
        <v>5.0</v>
      </c>
      <c r="H18" s="7">
        <v>4.5</v>
      </c>
      <c r="I18" s="7"/>
      <c r="J18" s="7"/>
      <c r="K18" s="7"/>
      <c r="L18" s="7"/>
      <c r="M18" s="8">
        <f t="shared" si="1"/>
        <v>14</v>
      </c>
      <c r="N18" s="8">
        <f>M18+M19</f>
        <v>27</v>
      </c>
      <c r="R18" s="8">
        <f t="shared" si="2"/>
        <v>14</v>
      </c>
    </row>
    <row r="19">
      <c r="A19" s="9"/>
      <c r="B19" s="6" t="s">
        <v>9</v>
      </c>
      <c r="F19" s="7">
        <v>4.0</v>
      </c>
      <c r="G19" s="7">
        <v>5.0</v>
      </c>
      <c r="H19" s="7">
        <v>4.0</v>
      </c>
      <c r="I19" s="7"/>
      <c r="J19" s="7"/>
      <c r="K19" s="7"/>
      <c r="L19" s="7"/>
      <c r="M19" s="8">
        <f t="shared" si="1"/>
        <v>13</v>
      </c>
      <c r="R19" s="8">
        <f t="shared" si="2"/>
        <v>13</v>
      </c>
    </row>
    <row r="20">
      <c r="A20" s="13">
        <v>46063.0</v>
      </c>
      <c r="B20" s="6" t="s">
        <v>8</v>
      </c>
      <c r="F20" s="7">
        <v>5.0</v>
      </c>
      <c r="G20" s="7">
        <v>5.5</v>
      </c>
      <c r="H20" s="7">
        <v>4.0</v>
      </c>
      <c r="I20" s="7"/>
      <c r="J20" s="7"/>
      <c r="K20" s="7"/>
      <c r="L20" s="7"/>
      <c r="M20" s="8">
        <f t="shared" si="1"/>
        <v>14.5</v>
      </c>
      <c r="N20" s="8">
        <f>M20+M21</f>
        <v>29.2</v>
      </c>
      <c r="R20" s="8">
        <f t="shared" si="2"/>
        <v>14.5</v>
      </c>
    </row>
    <row r="21" ht="15.75" customHeight="1">
      <c r="A21" s="9"/>
      <c r="B21" s="6" t="s">
        <v>9</v>
      </c>
      <c r="F21" s="7">
        <v>5.2</v>
      </c>
      <c r="G21" s="7">
        <v>5.0</v>
      </c>
      <c r="H21" s="7">
        <v>4.5</v>
      </c>
      <c r="I21" s="7"/>
      <c r="J21" s="7"/>
      <c r="K21" s="7"/>
      <c r="L21" s="7"/>
      <c r="M21" s="8">
        <f t="shared" si="1"/>
        <v>14.7</v>
      </c>
      <c r="R21" s="8">
        <f t="shared" si="2"/>
        <v>14.7</v>
      </c>
    </row>
    <row r="22" ht="15.75" customHeight="1">
      <c r="A22" s="13">
        <v>46064.0</v>
      </c>
      <c r="B22" s="6" t="s">
        <v>8</v>
      </c>
      <c r="F22" s="7">
        <v>4.0</v>
      </c>
      <c r="G22" s="7">
        <v>5.0</v>
      </c>
      <c r="H22" s="7">
        <v>2.5</v>
      </c>
      <c r="I22" s="7"/>
      <c r="J22" s="7"/>
      <c r="K22" s="7"/>
      <c r="L22" s="7"/>
      <c r="M22" s="8">
        <f t="shared" si="1"/>
        <v>11.5</v>
      </c>
      <c r="N22" s="8">
        <f>M22+M23</f>
        <v>23.7</v>
      </c>
      <c r="R22" s="8">
        <f t="shared" si="2"/>
        <v>11.5</v>
      </c>
    </row>
    <row r="23" ht="15.75" customHeight="1">
      <c r="A23" s="9"/>
      <c r="B23" s="6" t="s">
        <v>9</v>
      </c>
      <c r="F23" s="7">
        <v>5.0</v>
      </c>
      <c r="G23" s="7">
        <v>5.0</v>
      </c>
      <c r="H23" s="7">
        <v>2.2</v>
      </c>
      <c r="I23" s="7"/>
      <c r="J23" s="7"/>
      <c r="K23" s="7"/>
      <c r="L23" s="7"/>
      <c r="M23" s="8">
        <f t="shared" si="1"/>
        <v>12.2</v>
      </c>
      <c r="R23" s="8">
        <f t="shared" si="2"/>
        <v>12.2</v>
      </c>
    </row>
    <row r="24" ht="15.75" customHeight="1">
      <c r="A24" s="13">
        <v>46065.0</v>
      </c>
      <c r="B24" s="6" t="s">
        <v>8</v>
      </c>
      <c r="F24" s="7">
        <v>4.5</v>
      </c>
      <c r="G24" s="7">
        <v>5.0</v>
      </c>
      <c r="H24" s="7">
        <v>4.0</v>
      </c>
      <c r="I24" s="7"/>
      <c r="J24" s="7"/>
      <c r="K24" s="7"/>
      <c r="L24" s="7"/>
      <c r="M24" s="8">
        <f t="shared" si="1"/>
        <v>13.5</v>
      </c>
      <c r="N24" s="8">
        <f>M24+M25</f>
        <v>26</v>
      </c>
      <c r="R24" s="8">
        <f t="shared" si="2"/>
        <v>13.5</v>
      </c>
    </row>
    <row r="25" ht="15.75" customHeight="1">
      <c r="A25" s="9"/>
      <c r="B25" s="6" t="s">
        <v>9</v>
      </c>
      <c r="D25" s="14"/>
      <c r="F25" s="7">
        <v>4.0</v>
      </c>
      <c r="G25" s="7">
        <v>5.0</v>
      </c>
      <c r="H25" s="7">
        <v>3.5</v>
      </c>
      <c r="I25" s="7"/>
      <c r="J25" s="7"/>
      <c r="K25" s="7"/>
      <c r="L25" s="7"/>
      <c r="M25" s="8">
        <f t="shared" si="1"/>
        <v>12.5</v>
      </c>
      <c r="R25" s="8">
        <f t="shared" si="2"/>
        <v>12.5</v>
      </c>
    </row>
    <row r="26" ht="15.75" customHeight="1">
      <c r="A26" s="13">
        <v>46066.0</v>
      </c>
      <c r="B26" s="6" t="s">
        <v>8</v>
      </c>
      <c r="F26" s="7">
        <v>4.0</v>
      </c>
      <c r="G26" s="7">
        <v>5.0</v>
      </c>
      <c r="H26" s="7">
        <v>3.2</v>
      </c>
      <c r="I26" s="7"/>
      <c r="J26" s="7"/>
      <c r="K26" s="7"/>
      <c r="L26" s="7"/>
      <c r="M26" s="8">
        <f t="shared" si="1"/>
        <v>12.2</v>
      </c>
      <c r="N26" s="8">
        <f>M26+M27</f>
        <v>24.7</v>
      </c>
      <c r="R26" s="8">
        <f t="shared" si="2"/>
        <v>12.2</v>
      </c>
    </row>
    <row r="27" ht="15.75" customHeight="1">
      <c r="A27" s="9"/>
      <c r="B27" s="6" t="s">
        <v>9</v>
      </c>
      <c r="F27" s="7">
        <v>4.5</v>
      </c>
      <c r="G27" s="7">
        <v>4.5</v>
      </c>
      <c r="H27" s="7">
        <v>3.5</v>
      </c>
      <c r="I27" s="7"/>
      <c r="J27" s="7"/>
      <c r="K27" s="7"/>
      <c r="L27" s="7"/>
      <c r="M27" s="8">
        <f t="shared" si="1"/>
        <v>12.5</v>
      </c>
      <c r="R27" s="8">
        <f t="shared" si="2"/>
        <v>12.5</v>
      </c>
    </row>
    <row r="28" ht="15.75" customHeight="1">
      <c r="A28" s="13">
        <v>46067.0</v>
      </c>
      <c r="B28" s="6" t="s">
        <v>8</v>
      </c>
      <c r="F28" s="7">
        <v>4.0</v>
      </c>
      <c r="G28" s="7">
        <v>4.5</v>
      </c>
      <c r="H28" s="7">
        <v>3.5</v>
      </c>
      <c r="I28" s="7"/>
      <c r="J28" s="7"/>
      <c r="K28" s="7"/>
      <c r="L28" s="7"/>
      <c r="M28" s="8">
        <f t="shared" si="1"/>
        <v>12</v>
      </c>
      <c r="N28" s="8">
        <f>M28+M29</f>
        <v>24</v>
      </c>
      <c r="R28" s="8">
        <f t="shared" si="2"/>
        <v>12</v>
      </c>
    </row>
    <row r="29" ht="15.75" customHeight="1">
      <c r="A29" s="9"/>
      <c r="B29" s="6" t="s">
        <v>9</v>
      </c>
      <c r="F29" s="7">
        <v>4.0</v>
      </c>
      <c r="G29" s="7">
        <v>5.0</v>
      </c>
      <c r="H29" s="7">
        <v>3.0</v>
      </c>
      <c r="I29" s="7"/>
      <c r="J29" s="7"/>
      <c r="K29" s="7"/>
      <c r="L29" s="7"/>
      <c r="M29" s="8">
        <f t="shared" si="1"/>
        <v>12</v>
      </c>
      <c r="R29" s="8">
        <f t="shared" si="2"/>
        <v>12</v>
      </c>
    </row>
    <row r="30" ht="15.75" customHeight="1">
      <c r="A30" s="13">
        <v>46068.0</v>
      </c>
      <c r="B30" s="6" t="s">
        <v>8</v>
      </c>
      <c r="F30" s="7">
        <v>4.0</v>
      </c>
      <c r="G30" s="7">
        <v>4.0</v>
      </c>
      <c r="H30" s="7">
        <v>3.0</v>
      </c>
      <c r="M30" s="8">
        <f t="shared" si="1"/>
        <v>11</v>
      </c>
      <c r="N30" s="8">
        <f>M30+M31</f>
        <v>22</v>
      </c>
      <c r="R30" s="8">
        <f t="shared" si="2"/>
        <v>11</v>
      </c>
    </row>
    <row r="31" ht="15.75" customHeight="1">
      <c r="A31" s="9"/>
      <c r="B31" s="6" t="s">
        <v>9</v>
      </c>
      <c r="F31" s="7">
        <v>4.0</v>
      </c>
      <c r="G31" s="7">
        <v>4.5</v>
      </c>
      <c r="H31" s="7">
        <v>2.5</v>
      </c>
      <c r="M31" s="8">
        <f t="shared" si="1"/>
        <v>11</v>
      </c>
      <c r="R31" s="8">
        <f t="shared" si="2"/>
        <v>11</v>
      </c>
    </row>
    <row r="32" ht="15.75" customHeight="1">
      <c r="A32" s="13">
        <v>46069.0</v>
      </c>
      <c r="B32" s="6" t="s">
        <v>8</v>
      </c>
      <c r="F32" s="7">
        <v>4.0</v>
      </c>
      <c r="G32" s="7">
        <v>4.0</v>
      </c>
      <c r="H32" s="7">
        <v>2.0</v>
      </c>
      <c r="I32" s="7"/>
      <c r="J32" s="7"/>
      <c r="K32" s="7"/>
      <c r="L32" s="7"/>
      <c r="M32" s="8">
        <f t="shared" si="1"/>
        <v>10</v>
      </c>
      <c r="N32" s="8">
        <f>M32+M33</f>
        <v>21</v>
      </c>
      <c r="P32" s="7"/>
      <c r="R32" s="8">
        <f t="shared" si="2"/>
        <v>10</v>
      </c>
    </row>
    <row r="33" ht="15.75" customHeight="1">
      <c r="A33" s="9"/>
      <c r="B33" s="6" t="s">
        <v>9</v>
      </c>
      <c r="F33" s="7">
        <v>4.0</v>
      </c>
      <c r="G33" s="7">
        <v>4.5</v>
      </c>
      <c r="H33" s="7">
        <v>2.5</v>
      </c>
      <c r="M33" s="8">
        <f t="shared" si="1"/>
        <v>11</v>
      </c>
      <c r="R33" s="8">
        <f t="shared" si="2"/>
        <v>11</v>
      </c>
    </row>
    <row r="34" ht="15.75" customHeight="1">
      <c r="A34" s="13">
        <v>46070.0</v>
      </c>
      <c r="B34" s="6" t="s">
        <v>8</v>
      </c>
      <c r="F34" s="7">
        <v>4.0</v>
      </c>
      <c r="G34" s="7">
        <v>4.5</v>
      </c>
      <c r="H34" s="7">
        <v>3.0</v>
      </c>
      <c r="I34" s="7"/>
      <c r="J34" s="7">
        <v>4.5</v>
      </c>
      <c r="K34" s="7">
        <v>4.1</v>
      </c>
      <c r="L34" s="7">
        <v>5.0</v>
      </c>
      <c r="M34" s="8">
        <f t="shared" si="1"/>
        <v>25.1</v>
      </c>
      <c r="N34" s="8">
        <f>M34+M35</f>
        <v>47.8</v>
      </c>
      <c r="R34" s="8">
        <f t="shared" si="2"/>
        <v>25.1</v>
      </c>
    </row>
    <row r="35" ht="15.75" customHeight="1">
      <c r="A35" s="9"/>
      <c r="B35" s="6" t="s">
        <v>9</v>
      </c>
      <c r="F35" s="7">
        <v>4.2</v>
      </c>
      <c r="G35" s="7">
        <v>4.5</v>
      </c>
      <c r="H35" s="7">
        <v>1.5</v>
      </c>
      <c r="I35" s="7"/>
      <c r="J35" s="7">
        <v>4.0</v>
      </c>
      <c r="K35" s="7">
        <v>4.0</v>
      </c>
      <c r="L35" s="7">
        <v>4.5</v>
      </c>
      <c r="M35" s="8">
        <f t="shared" si="1"/>
        <v>22.7</v>
      </c>
      <c r="R35" s="8">
        <f t="shared" si="2"/>
        <v>22.7</v>
      </c>
    </row>
    <row r="36" ht="15.75" customHeight="1">
      <c r="A36" s="13">
        <v>46071.0</v>
      </c>
      <c r="B36" s="6" t="s">
        <v>8</v>
      </c>
      <c r="F36" s="7">
        <v>4.0</v>
      </c>
      <c r="G36" s="7">
        <v>4.5</v>
      </c>
      <c r="H36" s="7">
        <v>3.0</v>
      </c>
      <c r="I36" s="7"/>
      <c r="J36" s="7">
        <v>4.0</v>
      </c>
      <c r="K36" s="7">
        <v>4.3</v>
      </c>
      <c r="L36" s="7">
        <v>4.5</v>
      </c>
      <c r="M36" s="8">
        <f t="shared" si="1"/>
        <v>24.3</v>
      </c>
      <c r="N36" s="8">
        <f>M36+M37</f>
        <v>47.3</v>
      </c>
      <c r="R36" s="8">
        <f t="shared" si="2"/>
        <v>24.3</v>
      </c>
    </row>
    <row r="37" ht="12.0" customHeight="1">
      <c r="A37" s="9"/>
      <c r="B37" s="6" t="s">
        <v>9</v>
      </c>
      <c r="F37" s="7">
        <v>4.0</v>
      </c>
      <c r="G37" s="7">
        <v>4.0</v>
      </c>
      <c r="H37" s="7">
        <v>2.0</v>
      </c>
      <c r="I37" s="7"/>
      <c r="J37" s="7">
        <v>4.0</v>
      </c>
      <c r="K37" s="7">
        <v>4.5</v>
      </c>
      <c r="L37" s="7">
        <v>4.5</v>
      </c>
      <c r="M37" s="8">
        <f t="shared" si="1"/>
        <v>23</v>
      </c>
      <c r="R37" s="8">
        <f t="shared" si="2"/>
        <v>23</v>
      </c>
    </row>
    <row r="38" ht="15.75" customHeight="1">
      <c r="A38" s="13">
        <v>46072.0</v>
      </c>
      <c r="B38" s="6" t="s">
        <v>8</v>
      </c>
      <c r="F38" s="7">
        <v>4.0</v>
      </c>
      <c r="G38" s="7">
        <v>4.5</v>
      </c>
      <c r="H38" s="7">
        <v>4.0</v>
      </c>
      <c r="I38" s="7"/>
      <c r="J38" s="7">
        <v>5.0</v>
      </c>
      <c r="K38" s="7">
        <v>4.5</v>
      </c>
      <c r="L38" s="7">
        <v>4.7</v>
      </c>
      <c r="M38" s="8">
        <f t="shared" si="1"/>
        <v>26.7</v>
      </c>
      <c r="N38" s="8">
        <f>M38+M39</f>
        <v>52.2</v>
      </c>
      <c r="R38" s="8">
        <f t="shared" si="2"/>
        <v>26.7</v>
      </c>
    </row>
    <row r="39" ht="15.75" customHeight="1">
      <c r="A39" s="9"/>
      <c r="B39" s="6" t="s">
        <v>9</v>
      </c>
      <c r="F39" s="7">
        <v>4.5</v>
      </c>
      <c r="G39" s="7">
        <v>4.5</v>
      </c>
      <c r="H39" s="7">
        <v>3.5</v>
      </c>
      <c r="I39" s="7"/>
      <c r="J39" s="7">
        <v>4.5</v>
      </c>
      <c r="K39" s="7">
        <v>4.0</v>
      </c>
      <c r="L39" s="7">
        <v>4.5</v>
      </c>
      <c r="M39" s="8">
        <f t="shared" si="1"/>
        <v>25.5</v>
      </c>
      <c r="R39" s="8">
        <f t="shared" si="2"/>
        <v>25.5</v>
      </c>
    </row>
    <row r="40" ht="15.75" customHeight="1">
      <c r="A40" s="13">
        <v>46073.0</v>
      </c>
      <c r="B40" s="6" t="s">
        <v>8</v>
      </c>
      <c r="F40" s="7">
        <v>5.0</v>
      </c>
      <c r="G40" s="7">
        <v>4.5</v>
      </c>
      <c r="H40" s="7">
        <v>2.0</v>
      </c>
      <c r="I40" s="7"/>
      <c r="J40" s="7">
        <v>4.5</v>
      </c>
      <c r="K40" s="7">
        <v>4.5</v>
      </c>
      <c r="L40" s="7">
        <v>5.0</v>
      </c>
      <c r="M40" s="8">
        <f t="shared" si="1"/>
        <v>25.5</v>
      </c>
      <c r="N40" s="8">
        <f>M40+M41</f>
        <v>51.5</v>
      </c>
      <c r="R40" s="8">
        <f t="shared" si="2"/>
        <v>25.5</v>
      </c>
    </row>
    <row r="41" ht="15.75" customHeight="1">
      <c r="A41" s="9"/>
      <c r="B41" s="6" t="s">
        <v>9</v>
      </c>
      <c r="F41" s="7">
        <v>5.0</v>
      </c>
      <c r="G41" s="7">
        <v>4.5</v>
      </c>
      <c r="H41" s="7">
        <v>3.0</v>
      </c>
      <c r="I41" s="7"/>
      <c r="J41" s="7">
        <v>4.0</v>
      </c>
      <c r="K41" s="7">
        <v>4.5</v>
      </c>
      <c r="L41" s="7">
        <v>5.0</v>
      </c>
      <c r="M41" s="8">
        <f t="shared" si="1"/>
        <v>26</v>
      </c>
    </row>
    <row r="42" ht="15.75" customHeight="1">
      <c r="A42" s="13">
        <v>46074.0</v>
      </c>
      <c r="B42" s="6" t="s">
        <v>8</v>
      </c>
      <c r="F42" s="7">
        <v>5.0</v>
      </c>
      <c r="G42" s="7">
        <v>5.0</v>
      </c>
      <c r="H42" s="7">
        <v>5.5</v>
      </c>
      <c r="I42" s="7"/>
      <c r="J42" s="7">
        <v>4.0</v>
      </c>
      <c r="K42" s="7">
        <v>4.0</v>
      </c>
      <c r="L42" s="7">
        <v>5.5</v>
      </c>
      <c r="M42" s="8">
        <f t="shared" si="1"/>
        <v>29</v>
      </c>
      <c r="N42" s="8">
        <f>M42+M43</f>
        <v>54</v>
      </c>
    </row>
    <row r="43" ht="15.75" customHeight="1">
      <c r="A43" s="9"/>
      <c r="B43" s="6" t="s">
        <v>9</v>
      </c>
      <c r="F43" s="7">
        <v>5.0</v>
      </c>
      <c r="G43" s="7">
        <v>5.0</v>
      </c>
      <c r="H43" s="7">
        <v>2.5</v>
      </c>
      <c r="I43" s="7"/>
      <c r="J43" s="7">
        <v>4.0</v>
      </c>
      <c r="K43" s="7">
        <v>4.0</v>
      </c>
      <c r="L43" s="7">
        <v>4.5</v>
      </c>
      <c r="M43" s="8">
        <f t="shared" si="1"/>
        <v>25</v>
      </c>
    </row>
    <row r="44" ht="15.75" customHeight="1">
      <c r="A44" s="13">
        <f>A42+1</f>
        <v>46075</v>
      </c>
      <c r="B44" s="6" t="s">
        <v>8</v>
      </c>
      <c r="F44" s="7">
        <v>5.0</v>
      </c>
      <c r="G44" s="7">
        <v>5.0</v>
      </c>
      <c r="H44" s="7">
        <v>4.5</v>
      </c>
      <c r="I44" s="7"/>
      <c r="J44" s="7">
        <v>4.0</v>
      </c>
      <c r="K44" s="7">
        <v>4.0</v>
      </c>
      <c r="L44" s="7">
        <v>5.0</v>
      </c>
      <c r="M44" s="8">
        <f t="shared" si="1"/>
        <v>27.5</v>
      </c>
      <c r="N44" s="8">
        <f>M44+M45</f>
        <v>53.5</v>
      </c>
    </row>
    <row r="45" ht="15.75" customHeight="1">
      <c r="A45" s="9"/>
      <c r="B45" s="6" t="s">
        <v>9</v>
      </c>
      <c r="F45" s="7">
        <v>4.5</v>
      </c>
      <c r="G45" s="7">
        <v>5.0</v>
      </c>
      <c r="H45" s="7">
        <v>3.0</v>
      </c>
      <c r="I45" s="7"/>
      <c r="J45" s="7">
        <v>4.5</v>
      </c>
      <c r="K45" s="7">
        <v>4.0</v>
      </c>
      <c r="L45" s="7">
        <v>5.0</v>
      </c>
      <c r="M45" s="8">
        <f t="shared" si="1"/>
        <v>26</v>
      </c>
    </row>
    <row r="46" ht="15.75" customHeight="1">
      <c r="A46" s="13">
        <v>6709195.0</v>
      </c>
      <c r="B46" s="6" t="s">
        <v>8</v>
      </c>
      <c r="F46" s="7">
        <v>5.0</v>
      </c>
      <c r="G46" s="7">
        <v>4.5</v>
      </c>
      <c r="H46" s="7">
        <v>3.5</v>
      </c>
      <c r="I46" s="7"/>
      <c r="J46" s="7">
        <v>4.0</v>
      </c>
      <c r="K46" s="7">
        <v>4.5</v>
      </c>
      <c r="L46" s="7">
        <v>5.5</v>
      </c>
      <c r="M46" s="8">
        <f t="shared" si="1"/>
        <v>27</v>
      </c>
      <c r="N46" s="8">
        <f>M46+M47</f>
        <v>53</v>
      </c>
    </row>
    <row r="47" ht="15.75" customHeight="1">
      <c r="A47" s="9"/>
      <c r="B47" s="6" t="s">
        <v>9</v>
      </c>
      <c r="F47" s="7">
        <v>4.5</v>
      </c>
      <c r="G47" s="7">
        <v>4.5</v>
      </c>
      <c r="H47" s="7">
        <v>3.0</v>
      </c>
      <c r="I47" s="7"/>
      <c r="J47" s="7">
        <v>4.5</v>
      </c>
      <c r="K47" s="7">
        <v>4.5</v>
      </c>
      <c r="L47" s="7">
        <v>5.0</v>
      </c>
      <c r="M47" s="8">
        <f t="shared" si="1"/>
        <v>26</v>
      </c>
    </row>
    <row r="48" ht="15.75" customHeight="1">
      <c r="A48" s="13">
        <v>46077.0</v>
      </c>
      <c r="B48" s="6" t="s">
        <v>8</v>
      </c>
      <c r="F48" s="7">
        <v>4.5</v>
      </c>
      <c r="G48" s="7">
        <v>4.5</v>
      </c>
      <c r="H48" s="7">
        <v>5.0</v>
      </c>
      <c r="I48" s="7"/>
      <c r="J48" s="7">
        <v>4.0</v>
      </c>
      <c r="K48" s="7">
        <v>4.5</v>
      </c>
      <c r="L48" s="7">
        <v>5.5</v>
      </c>
      <c r="M48" s="8">
        <f t="shared" si="1"/>
        <v>28</v>
      </c>
      <c r="N48" s="8">
        <f>M48+M49</f>
        <v>50.2</v>
      </c>
    </row>
    <row r="49" ht="15.75" customHeight="1">
      <c r="A49" s="9"/>
      <c r="B49" s="6" t="s">
        <v>9</v>
      </c>
      <c r="F49" s="7">
        <v>4.4</v>
      </c>
      <c r="G49" s="7">
        <v>3.0</v>
      </c>
      <c r="H49" s="7">
        <v>2.5</v>
      </c>
      <c r="I49" s="7"/>
      <c r="J49" s="7">
        <v>3.5</v>
      </c>
      <c r="K49" s="7">
        <v>4.0</v>
      </c>
      <c r="L49" s="7">
        <v>4.8</v>
      </c>
      <c r="M49" s="8">
        <f t="shared" si="1"/>
        <v>22.2</v>
      </c>
    </row>
    <row r="50" ht="15.75" customHeight="1">
      <c r="A50" s="21">
        <v>46078.0</v>
      </c>
      <c r="B50" s="15" t="s">
        <v>8</v>
      </c>
      <c r="F50" s="7">
        <v>4.2</v>
      </c>
      <c r="G50" s="7">
        <v>4.5</v>
      </c>
      <c r="H50" s="7">
        <v>3.0</v>
      </c>
      <c r="I50" s="7">
        <v>3.0</v>
      </c>
      <c r="J50" s="7">
        <v>3.5</v>
      </c>
      <c r="K50" s="7">
        <v>4.0</v>
      </c>
      <c r="L50" s="7">
        <v>5.5</v>
      </c>
      <c r="M50" s="8">
        <f t="shared" si="1"/>
        <v>27.7</v>
      </c>
      <c r="N50" s="8">
        <f>M50+M51</f>
        <v>51.7</v>
      </c>
    </row>
    <row r="51" ht="15.75" customHeight="1">
      <c r="A51" s="9"/>
      <c r="B51" s="6" t="s">
        <v>9</v>
      </c>
      <c r="F51" s="7">
        <v>4.0</v>
      </c>
      <c r="G51" s="7">
        <v>3.0</v>
      </c>
      <c r="H51" s="7">
        <v>2.5</v>
      </c>
      <c r="I51" s="7">
        <v>1.5</v>
      </c>
      <c r="J51" s="7">
        <v>4.0</v>
      </c>
      <c r="K51" s="7">
        <v>4.0</v>
      </c>
      <c r="L51" s="7">
        <v>5.0</v>
      </c>
      <c r="M51" s="8">
        <f t="shared" si="1"/>
        <v>24</v>
      </c>
    </row>
    <row r="52" ht="15.75" customHeight="1">
      <c r="A52" s="13">
        <v>46079.0</v>
      </c>
      <c r="B52" s="6" t="s">
        <v>8</v>
      </c>
      <c r="F52" s="7">
        <v>4.5</v>
      </c>
      <c r="G52" s="7">
        <v>4.5</v>
      </c>
      <c r="H52" s="7">
        <v>2.0</v>
      </c>
      <c r="I52" s="7">
        <v>2.2</v>
      </c>
      <c r="J52" s="7">
        <v>4.5</v>
      </c>
      <c r="K52" s="7">
        <v>4.0</v>
      </c>
      <c r="L52" s="7">
        <v>5.0</v>
      </c>
      <c r="M52" s="8">
        <f t="shared" si="1"/>
        <v>26.7</v>
      </c>
      <c r="N52" s="8">
        <f>M52+M53</f>
        <v>48.7</v>
      </c>
    </row>
    <row r="53" ht="15.75" customHeight="1">
      <c r="A53" s="9"/>
      <c r="B53" s="6" t="s">
        <v>9</v>
      </c>
      <c r="F53" s="7">
        <v>4.0</v>
      </c>
      <c r="G53" s="7">
        <v>3.5</v>
      </c>
      <c r="H53" s="7">
        <v>1.5</v>
      </c>
      <c r="I53" s="7">
        <v>1.5</v>
      </c>
      <c r="J53" s="7">
        <v>4.0</v>
      </c>
      <c r="K53" s="7">
        <v>2.5</v>
      </c>
      <c r="L53" s="7">
        <v>5.0</v>
      </c>
      <c r="M53" s="8">
        <f t="shared" si="1"/>
        <v>22</v>
      </c>
    </row>
    <row r="54" ht="15.75" customHeight="1">
      <c r="A54" s="13">
        <v>46080.0</v>
      </c>
      <c r="B54" s="6" t="s">
        <v>8</v>
      </c>
      <c r="F54" s="7">
        <v>5.0</v>
      </c>
      <c r="G54" s="7">
        <v>5.0</v>
      </c>
      <c r="H54" s="7">
        <v>4.0</v>
      </c>
      <c r="I54" s="7">
        <v>3.5</v>
      </c>
      <c r="J54" s="7">
        <v>4.5</v>
      </c>
      <c r="K54" s="7">
        <v>4.5</v>
      </c>
      <c r="L54" s="7">
        <v>5.5</v>
      </c>
      <c r="M54" s="8">
        <f t="shared" si="1"/>
        <v>32</v>
      </c>
      <c r="N54" s="8">
        <f>M54+M55</f>
        <v>54</v>
      </c>
    </row>
    <row r="55" ht="15.75" customHeight="1">
      <c r="A55" s="9"/>
      <c r="B55" s="6" t="s">
        <v>9</v>
      </c>
      <c r="F55" s="7">
        <v>4.0</v>
      </c>
      <c r="G55" s="7">
        <v>2.5</v>
      </c>
      <c r="H55" s="7">
        <v>1.0</v>
      </c>
      <c r="I55" s="7">
        <v>1.5</v>
      </c>
      <c r="J55" s="7">
        <v>4.0</v>
      </c>
      <c r="K55" s="7">
        <v>4.0</v>
      </c>
      <c r="L55" s="7">
        <v>5.0</v>
      </c>
      <c r="M55" s="8">
        <f t="shared" si="1"/>
        <v>22</v>
      </c>
    </row>
    <row r="56" ht="15.75" customHeight="1">
      <c r="A56" s="13">
        <v>46081.0</v>
      </c>
      <c r="B56" s="6" t="s">
        <v>8</v>
      </c>
      <c r="F56" s="7">
        <v>4.5</v>
      </c>
      <c r="G56" s="7">
        <v>5.0</v>
      </c>
      <c r="H56" s="7">
        <v>3.5</v>
      </c>
      <c r="I56" s="7">
        <v>3.0</v>
      </c>
      <c r="J56" s="7">
        <v>4.0</v>
      </c>
      <c r="K56" s="7">
        <v>4.0</v>
      </c>
      <c r="L56" s="7">
        <v>5.5</v>
      </c>
      <c r="M56" s="8">
        <f t="shared" si="1"/>
        <v>29.5</v>
      </c>
      <c r="N56" s="8">
        <f>M56+M57</f>
        <v>51.7</v>
      </c>
    </row>
    <row r="57" ht="15.75" customHeight="1">
      <c r="A57" s="9"/>
      <c r="B57" s="6" t="s">
        <v>9</v>
      </c>
      <c r="F57" s="7">
        <v>4.0</v>
      </c>
      <c r="G57" s="7">
        <v>3.2</v>
      </c>
      <c r="H57" s="7">
        <v>1.0</v>
      </c>
      <c r="I57" s="7">
        <v>2.5</v>
      </c>
      <c r="J57" s="7">
        <v>3.0</v>
      </c>
      <c r="K57" s="7">
        <v>3.5</v>
      </c>
      <c r="L57" s="7">
        <v>5.0</v>
      </c>
      <c r="M57" s="8">
        <f t="shared" si="1"/>
        <v>22.2</v>
      </c>
    </row>
    <row r="58" ht="15.75" customHeight="1">
      <c r="A58" s="13"/>
      <c r="B58" s="6" t="s">
        <v>8</v>
      </c>
      <c r="F58" s="7"/>
      <c r="G58" s="7"/>
      <c r="J58" s="7"/>
      <c r="L58" s="7"/>
      <c r="M58" s="8">
        <f t="shared" si="1"/>
        <v>0</v>
      </c>
      <c r="N58" s="8">
        <f>M58+M59</f>
        <v>0</v>
      </c>
    </row>
    <row r="59" ht="15.75" customHeight="1">
      <c r="A59" s="9"/>
      <c r="B59" s="6" t="s">
        <v>9</v>
      </c>
      <c r="M59" s="8">
        <f t="shared" si="1"/>
        <v>0</v>
      </c>
    </row>
    <row r="60" ht="15.75" customHeight="1">
      <c r="A60" s="13"/>
      <c r="B60" s="6" t="s">
        <v>8</v>
      </c>
      <c r="M60" s="8">
        <f t="shared" si="1"/>
        <v>0</v>
      </c>
      <c r="N60" s="8">
        <f>M60+M61</f>
        <v>0</v>
      </c>
    </row>
    <row r="61" ht="15.75" customHeight="1">
      <c r="A61" s="9"/>
      <c r="B61" s="6" t="s">
        <v>9</v>
      </c>
      <c r="M61" s="8">
        <f t="shared" si="1"/>
        <v>0</v>
      </c>
    </row>
    <row r="62" ht="15.75" customHeight="1">
      <c r="A62" s="13"/>
      <c r="B62" s="6" t="s">
        <v>8</v>
      </c>
      <c r="M62" s="8">
        <f t="shared" si="1"/>
        <v>0</v>
      </c>
      <c r="N62" s="8">
        <f>M62+M63</f>
        <v>0</v>
      </c>
    </row>
    <row r="63" ht="15.75" customHeight="1">
      <c r="A63" s="9"/>
      <c r="B63" s="6" t="s">
        <v>9</v>
      </c>
      <c r="M63" s="7">
        <f>Sum(C63:H63)</f>
        <v>0</v>
      </c>
    </row>
    <row r="64" ht="15.75" customHeight="1">
      <c r="A64" s="14"/>
    </row>
    <row r="65" ht="15.75" customHeight="1">
      <c r="A65" s="14"/>
    </row>
    <row r="66" ht="15.75" customHeight="1">
      <c r="A66" s="14"/>
    </row>
    <row r="67" ht="15.75" customHeight="1">
      <c r="A67" s="14"/>
    </row>
    <row r="68" ht="15.75" customHeight="1">
      <c r="A68" s="14"/>
    </row>
    <row r="69" ht="15.75" customHeight="1">
      <c r="A69" s="14"/>
    </row>
    <row r="70" ht="15.75" customHeight="1">
      <c r="A70" s="10"/>
    </row>
    <row r="71" ht="15.75" customHeight="1"/>
    <row r="72" ht="15.75" customHeight="1">
      <c r="A72" s="10"/>
    </row>
    <row r="73" ht="15.75" customHeight="1"/>
    <row r="74" ht="15.75" customHeight="1">
      <c r="A74" s="10"/>
    </row>
    <row r="75" ht="15.75" customHeight="1"/>
    <row r="76" ht="15.75" customHeight="1">
      <c r="A76" s="10"/>
    </row>
    <row r="77" ht="15.75" customHeight="1"/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  <c r="K103" s="7" t="s">
        <v>33</v>
      </c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70:A71"/>
    <mergeCell ref="A72:A73"/>
    <mergeCell ref="A74:A75"/>
    <mergeCell ref="A76:A77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3" width="14.86"/>
    <col customWidth="1" min="14" max="14" width="17.71"/>
    <col customWidth="1" min="15" max="15" width="10.43"/>
    <col customWidth="1" min="16" max="16" width="20.29"/>
    <col customWidth="1" min="17" max="17" width="16.71"/>
    <col customWidth="1" min="18" max="18" width="15.57"/>
    <col customWidth="1" min="19" max="31" width="8.71"/>
  </cols>
  <sheetData>
    <row r="1">
      <c r="A1" s="22" t="s">
        <v>10</v>
      </c>
      <c r="B1" s="23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11</v>
      </c>
      <c r="H1" s="22" t="s">
        <v>12</v>
      </c>
      <c r="I1" s="22" t="s">
        <v>13</v>
      </c>
      <c r="J1" s="22" t="s">
        <v>14</v>
      </c>
      <c r="K1" s="22" t="s">
        <v>15</v>
      </c>
      <c r="L1" s="22" t="s">
        <v>16</v>
      </c>
      <c r="M1" s="23" t="s">
        <v>6</v>
      </c>
      <c r="N1" s="22" t="s">
        <v>21</v>
      </c>
      <c r="O1" s="24"/>
      <c r="P1" s="12" t="s">
        <v>22</v>
      </c>
      <c r="Q1" s="12" t="s">
        <v>23</v>
      </c>
      <c r="R1" s="12" t="s">
        <v>24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24"/>
      <c r="Z1" s="24"/>
      <c r="AA1" s="24"/>
      <c r="AB1" s="24"/>
      <c r="AC1" s="24"/>
      <c r="AD1" s="24"/>
      <c r="AE1" s="24"/>
    </row>
    <row r="2">
      <c r="A2" s="13">
        <v>46082.0</v>
      </c>
      <c r="B2" s="6" t="s">
        <v>8</v>
      </c>
      <c r="F2" s="7">
        <v>4.5</v>
      </c>
      <c r="G2" s="7">
        <v>4.0</v>
      </c>
      <c r="H2" s="7">
        <v>2.0</v>
      </c>
      <c r="I2" s="7">
        <v>3.0</v>
      </c>
      <c r="J2" s="7">
        <v>4.5</v>
      </c>
      <c r="K2" s="7">
        <v>4.0</v>
      </c>
      <c r="L2" s="7">
        <v>5.7</v>
      </c>
      <c r="M2" s="8">
        <f t="shared" ref="M2:M18" si="1">SUM(C2:L2)</f>
        <v>27.7</v>
      </c>
      <c r="N2" s="8">
        <f>M2+M3</f>
        <v>49.4</v>
      </c>
      <c r="P2" s="7">
        <v>17.5</v>
      </c>
      <c r="Q2" s="7">
        <v>10.2</v>
      </c>
      <c r="R2" s="8">
        <f t="shared" ref="R2:R66" si="2">M2-P2-Q2</f>
        <v>0</v>
      </c>
    </row>
    <row r="3">
      <c r="A3" s="9"/>
      <c r="B3" s="6" t="s">
        <v>9</v>
      </c>
      <c r="F3" s="7">
        <v>4.0</v>
      </c>
      <c r="G3" s="7">
        <v>2.5</v>
      </c>
      <c r="H3" s="7">
        <v>1.0</v>
      </c>
      <c r="I3" s="7">
        <v>3.0</v>
      </c>
      <c r="J3" s="7">
        <v>3.7</v>
      </c>
      <c r="K3" s="7">
        <v>2.5</v>
      </c>
      <c r="L3" s="7">
        <v>5.0</v>
      </c>
      <c r="M3" s="8">
        <f t="shared" si="1"/>
        <v>21.7</v>
      </c>
      <c r="P3" s="7">
        <v>0.0</v>
      </c>
      <c r="Q3" s="7">
        <v>21.7</v>
      </c>
      <c r="R3" s="8">
        <f t="shared" si="2"/>
        <v>0</v>
      </c>
    </row>
    <row r="4">
      <c r="A4" s="13">
        <f>A2+1</f>
        <v>46083</v>
      </c>
      <c r="B4" s="6" t="s">
        <v>8</v>
      </c>
      <c r="F4" s="7">
        <v>4.5</v>
      </c>
      <c r="G4" s="7">
        <v>4.5</v>
      </c>
      <c r="H4" s="7">
        <v>2.0</v>
      </c>
      <c r="I4" s="7">
        <v>3.0</v>
      </c>
      <c r="J4" s="7">
        <v>4.3</v>
      </c>
      <c r="K4" s="7">
        <v>4.0</v>
      </c>
      <c r="L4" s="7">
        <v>5.8</v>
      </c>
      <c r="M4" s="8">
        <f t="shared" si="1"/>
        <v>28.1</v>
      </c>
      <c r="N4" s="8">
        <f>M4+M5</f>
        <v>50</v>
      </c>
      <c r="P4" s="7">
        <v>25.25</v>
      </c>
      <c r="Q4" s="7">
        <v>2.85</v>
      </c>
      <c r="R4" s="8">
        <f t="shared" si="2"/>
        <v>0</v>
      </c>
    </row>
    <row r="5">
      <c r="A5" s="9"/>
      <c r="B5" s="6" t="s">
        <v>9</v>
      </c>
      <c r="F5" s="7">
        <v>3.5</v>
      </c>
      <c r="G5" s="7">
        <v>2.5</v>
      </c>
      <c r="H5" s="7">
        <v>2.0</v>
      </c>
      <c r="I5" s="7">
        <v>2.5</v>
      </c>
      <c r="J5" s="7">
        <v>3.0</v>
      </c>
      <c r="K5" s="7">
        <v>4.0</v>
      </c>
      <c r="L5" s="7">
        <v>4.4</v>
      </c>
      <c r="M5" s="8">
        <f t="shared" si="1"/>
        <v>21.9</v>
      </c>
      <c r="P5" s="7">
        <v>0.0</v>
      </c>
      <c r="Q5" s="7">
        <v>21.9</v>
      </c>
      <c r="R5" s="8">
        <f t="shared" si="2"/>
        <v>0</v>
      </c>
    </row>
    <row r="6">
      <c r="A6" s="13">
        <f>A4+1</f>
        <v>46084</v>
      </c>
      <c r="B6" s="6" t="s">
        <v>8</v>
      </c>
      <c r="F6" s="7">
        <v>3.5</v>
      </c>
      <c r="G6" s="7">
        <v>2.5</v>
      </c>
      <c r="H6" s="7">
        <v>4.0</v>
      </c>
      <c r="I6" s="7">
        <v>2.5</v>
      </c>
      <c r="J6" s="7">
        <v>3.5</v>
      </c>
      <c r="K6" s="7">
        <v>2.5</v>
      </c>
      <c r="L6" s="7">
        <v>4.3</v>
      </c>
      <c r="M6" s="8">
        <f t="shared" si="1"/>
        <v>22.8</v>
      </c>
      <c r="N6" s="8">
        <f>M6+M7</f>
        <v>43.8</v>
      </c>
      <c r="P6" s="7">
        <v>20.75</v>
      </c>
      <c r="Q6" s="7">
        <v>2.05</v>
      </c>
      <c r="R6" s="8">
        <f t="shared" si="2"/>
        <v>0</v>
      </c>
    </row>
    <row r="7">
      <c r="A7" s="9"/>
      <c r="B7" s="6" t="s">
        <v>9</v>
      </c>
      <c r="F7" s="7">
        <v>3.5</v>
      </c>
      <c r="G7" s="7">
        <v>1.5</v>
      </c>
      <c r="H7" s="7">
        <v>1.5</v>
      </c>
      <c r="I7" s="7">
        <v>2.5</v>
      </c>
      <c r="J7" s="7">
        <v>4.0</v>
      </c>
      <c r="K7" s="7">
        <v>2.0</v>
      </c>
      <c r="L7" s="7">
        <v>6.0</v>
      </c>
      <c r="M7" s="8">
        <f t="shared" si="1"/>
        <v>21</v>
      </c>
      <c r="P7" s="7">
        <v>0.0</v>
      </c>
      <c r="Q7" s="7">
        <v>21.0</v>
      </c>
      <c r="R7" s="8">
        <f t="shared" si="2"/>
        <v>0</v>
      </c>
    </row>
    <row r="8">
      <c r="A8" s="13">
        <f>A6+1</f>
        <v>46085</v>
      </c>
      <c r="B8" s="6" t="s">
        <v>8</v>
      </c>
      <c r="F8" s="7">
        <v>2.0</v>
      </c>
      <c r="G8" s="7">
        <v>2.0</v>
      </c>
      <c r="H8" s="7">
        <v>3.5</v>
      </c>
      <c r="I8" s="7">
        <v>3.0</v>
      </c>
      <c r="J8" s="7">
        <v>2.7</v>
      </c>
      <c r="K8" s="7">
        <v>3.0</v>
      </c>
      <c r="L8" s="7">
        <v>5.5</v>
      </c>
      <c r="M8" s="8">
        <f t="shared" si="1"/>
        <v>21.7</v>
      </c>
      <c r="N8" s="8">
        <f>M8+M9</f>
        <v>45.4</v>
      </c>
      <c r="P8" s="7">
        <v>21.7</v>
      </c>
      <c r="Q8" s="7">
        <v>0.0</v>
      </c>
      <c r="R8" s="8">
        <f t="shared" si="2"/>
        <v>0</v>
      </c>
    </row>
    <row r="9">
      <c r="A9" s="9"/>
      <c r="B9" s="6" t="s">
        <v>9</v>
      </c>
      <c r="F9" s="7">
        <v>3.5</v>
      </c>
      <c r="G9" s="7">
        <v>2.0</v>
      </c>
      <c r="H9" s="7">
        <v>3.0</v>
      </c>
      <c r="I9" s="7">
        <v>2.7</v>
      </c>
      <c r="J9" s="7">
        <v>4.0</v>
      </c>
      <c r="K9" s="7">
        <v>3.7</v>
      </c>
      <c r="L9" s="7">
        <v>4.8</v>
      </c>
      <c r="M9" s="8">
        <f t="shared" si="1"/>
        <v>23.7</v>
      </c>
      <c r="P9" s="7">
        <v>0.0</v>
      </c>
      <c r="Q9" s="7">
        <v>23.7</v>
      </c>
      <c r="R9" s="8">
        <f t="shared" si="2"/>
        <v>0</v>
      </c>
    </row>
    <row r="10">
      <c r="A10" s="13">
        <f>A8+1</f>
        <v>46086</v>
      </c>
      <c r="B10" s="6" t="s">
        <v>8</v>
      </c>
      <c r="F10" s="7">
        <v>3.5</v>
      </c>
      <c r="G10" s="7">
        <v>2.5</v>
      </c>
      <c r="H10" s="7">
        <v>2.7</v>
      </c>
      <c r="I10" s="7">
        <v>3.5</v>
      </c>
      <c r="J10" s="7">
        <v>4.3</v>
      </c>
      <c r="K10" s="7">
        <v>4.0</v>
      </c>
      <c r="L10" s="7">
        <v>5.5</v>
      </c>
      <c r="M10" s="8">
        <f t="shared" si="1"/>
        <v>26</v>
      </c>
      <c r="N10" s="8">
        <f>M10+M11</f>
        <v>47.8</v>
      </c>
      <c r="P10" s="7">
        <v>24.75</v>
      </c>
      <c r="Q10" s="7">
        <v>1.25</v>
      </c>
      <c r="R10" s="8">
        <f t="shared" si="2"/>
        <v>0</v>
      </c>
    </row>
    <row r="11">
      <c r="A11" s="9"/>
      <c r="B11" s="25" t="s">
        <v>9</v>
      </c>
      <c r="C11" s="26"/>
      <c r="D11" s="26"/>
      <c r="E11" s="26"/>
      <c r="F11" s="27">
        <v>4.0</v>
      </c>
      <c r="G11" s="27">
        <v>2.0</v>
      </c>
      <c r="H11" s="27">
        <v>4.0</v>
      </c>
      <c r="I11" s="27">
        <v>1.8</v>
      </c>
      <c r="J11" s="27">
        <v>4.5</v>
      </c>
      <c r="K11" s="27"/>
      <c r="L11" s="27">
        <v>5.5</v>
      </c>
      <c r="M11" s="26">
        <f t="shared" si="1"/>
        <v>21.8</v>
      </c>
      <c r="N11" s="26"/>
      <c r="O11" s="26"/>
      <c r="P11" s="27">
        <v>0.0</v>
      </c>
      <c r="Q11" s="27">
        <v>21.8</v>
      </c>
      <c r="R11" s="26">
        <f t="shared" si="2"/>
        <v>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>
      <c r="A12" s="13">
        <f>A10+1</f>
        <v>46087</v>
      </c>
      <c r="B12" s="6" t="s">
        <v>8</v>
      </c>
      <c r="F12" s="7">
        <v>3.0</v>
      </c>
      <c r="G12" s="7">
        <v>3.0</v>
      </c>
      <c r="H12" s="7">
        <v>3.5</v>
      </c>
      <c r="I12" s="7">
        <v>2.5</v>
      </c>
      <c r="J12" s="7">
        <v>4.3</v>
      </c>
      <c r="K12" s="7">
        <v>4.0</v>
      </c>
      <c r="L12" s="7">
        <v>5.2</v>
      </c>
      <c r="M12" s="8">
        <f t="shared" si="1"/>
        <v>25.5</v>
      </c>
      <c r="N12" s="8">
        <f>M12+M13</f>
        <v>45.7</v>
      </c>
      <c r="P12" s="7">
        <v>25.25</v>
      </c>
      <c r="Q12" s="7">
        <v>0.25</v>
      </c>
      <c r="R12" s="8">
        <f t="shared" si="2"/>
        <v>0</v>
      </c>
    </row>
    <row r="13">
      <c r="A13" s="9"/>
      <c r="B13" s="6" t="s">
        <v>9</v>
      </c>
      <c r="F13" s="7">
        <v>3.0</v>
      </c>
      <c r="G13" s="7">
        <v>2.5</v>
      </c>
      <c r="H13" s="7">
        <v>2.5</v>
      </c>
      <c r="I13" s="7">
        <v>1.0</v>
      </c>
      <c r="J13" s="7">
        <v>3.7</v>
      </c>
      <c r="K13" s="7">
        <v>3.5</v>
      </c>
      <c r="L13" s="7">
        <v>4.0</v>
      </c>
      <c r="M13" s="8">
        <f t="shared" si="1"/>
        <v>20.2</v>
      </c>
      <c r="P13" s="7">
        <v>0.0</v>
      </c>
      <c r="Q13" s="7">
        <v>20.2</v>
      </c>
      <c r="R13" s="8">
        <f t="shared" si="2"/>
        <v>0</v>
      </c>
    </row>
    <row r="14">
      <c r="A14" s="13">
        <f>A12+1</f>
        <v>46088</v>
      </c>
      <c r="B14" s="6" t="s">
        <v>8</v>
      </c>
      <c r="F14" s="7">
        <v>4.0</v>
      </c>
      <c r="G14" s="7">
        <v>4.0</v>
      </c>
      <c r="H14" s="7">
        <v>4.0</v>
      </c>
      <c r="I14" s="7">
        <v>2.0</v>
      </c>
      <c r="J14" s="7">
        <v>4.0</v>
      </c>
      <c r="K14" s="7">
        <v>4.0</v>
      </c>
      <c r="L14" s="7">
        <v>5.0</v>
      </c>
      <c r="M14" s="8">
        <f t="shared" si="1"/>
        <v>27</v>
      </c>
      <c r="N14" s="8">
        <f>M14+M15</f>
        <v>45.5</v>
      </c>
      <c r="P14" s="7">
        <v>27.0</v>
      </c>
      <c r="Q14" s="7">
        <v>0.0</v>
      </c>
      <c r="R14" s="8">
        <f t="shared" si="2"/>
        <v>0</v>
      </c>
    </row>
    <row r="15">
      <c r="A15" s="9"/>
      <c r="B15" s="6" t="s">
        <v>9</v>
      </c>
      <c r="F15" s="7">
        <v>3.5</v>
      </c>
      <c r="G15" s="7">
        <v>2.5</v>
      </c>
      <c r="H15" s="7">
        <v>1.0</v>
      </c>
      <c r="I15" s="7">
        <v>1.0</v>
      </c>
      <c r="J15" s="7">
        <v>3.5</v>
      </c>
      <c r="K15" s="7">
        <v>3.0</v>
      </c>
      <c r="L15" s="7">
        <v>4.0</v>
      </c>
      <c r="M15" s="8">
        <f t="shared" si="1"/>
        <v>18.5</v>
      </c>
      <c r="P15" s="7">
        <v>0.0</v>
      </c>
      <c r="Q15" s="7">
        <v>18.5</v>
      </c>
      <c r="R15" s="8">
        <f t="shared" si="2"/>
        <v>0</v>
      </c>
    </row>
    <row r="16">
      <c r="A16" s="13">
        <f>A14+1</f>
        <v>46089</v>
      </c>
      <c r="B16" s="6" t="s">
        <v>8</v>
      </c>
      <c r="F16" s="7">
        <v>4.0</v>
      </c>
      <c r="G16" s="7">
        <v>4.0</v>
      </c>
      <c r="I16" s="7">
        <v>1.5</v>
      </c>
      <c r="J16" s="7">
        <v>4.0</v>
      </c>
      <c r="K16" s="7">
        <v>4.0</v>
      </c>
      <c r="L16" s="7">
        <v>4.0</v>
      </c>
      <c r="M16" s="8">
        <f t="shared" si="1"/>
        <v>21.5</v>
      </c>
      <c r="N16" s="8">
        <f>M16+M17</f>
        <v>42</v>
      </c>
      <c r="P16" s="7">
        <v>26.75</v>
      </c>
      <c r="Q16" s="7">
        <v>0.0</v>
      </c>
      <c r="R16" s="8">
        <f t="shared" si="2"/>
        <v>-5.25</v>
      </c>
      <c r="S16" s="7">
        <v>2.0</v>
      </c>
      <c r="T16" s="7">
        <v>3.25</v>
      </c>
      <c r="U16" s="8">
        <f t="shared" ref="U16:U66" si="3">R16+S16+T16</f>
        <v>0</v>
      </c>
      <c r="V16" s="7">
        <v>25.75</v>
      </c>
      <c r="W16" s="8">
        <f t="shared" ref="W16:W32" si="4">P16-V16</f>
        <v>1</v>
      </c>
    </row>
    <row r="17">
      <c r="A17" s="9"/>
      <c r="B17" s="25" t="s">
        <v>9</v>
      </c>
      <c r="C17" s="26"/>
      <c r="D17" s="26"/>
      <c r="E17" s="26"/>
      <c r="F17" s="27">
        <v>3.0</v>
      </c>
      <c r="G17" s="27">
        <v>2.5</v>
      </c>
      <c r="H17" s="27">
        <v>3.0</v>
      </c>
      <c r="I17" s="27">
        <v>1.0</v>
      </c>
      <c r="J17" s="27">
        <v>3.5</v>
      </c>
      <c r="K17" s="27">
        <v>3.5</v>
      </c>
      <c r="L17" s="27">
        <v>4.0</v>
      </c>
      <c r="M17" s="26">
        <f t="shared" si="1"/>
        <v>20.5</v>
      </c>
      <c r="N17" s="26"/>
      <c r="O17" s="26"/>
      <c r="P17" s="27">
        <v>0.0</v>
      </c>
      <c r="Q17" s="27">
        <v>20.5</v>
      </c>
      <c r="R17" s="26">
        <f t="shared" si="2"/>
        <v>0</v>
      </c>
      <c r="S17" s="26"/>
      <c r="T17" s="26"/>
      <c r="U17" s="26">
        <f t="shared" si="3"/>
        <v>0</v>
      </c>
      <c r="V17" s="26"/>
      <c r="W17" s="26">
        <f t="shared" si="4"/>
        <v>0</v>
      </c>
      <c r="X17" s="26"/>
      <c r="Y17" s="26"/>
      <c r="Z17" s="26"/>
      <c r="AA17" s="26"/>
      <c r="AB17" s="26"/>
      <c r="AC17" s="26"/>
      <c r="AD17" s="26"/>
      <c r="AE17" s="26"/>
    </row>
    <row r="18">
      <c r="A18" s="13">
        <f>A16+1</f>
        <v>46090</v>
      </c>
      <c r="B18" s="6" t="s">
        <v>8</v>
      </c>
      <c r="F18" s="7">
        <v>3.5</v>
      </c>
      <c r="G18" s="7">
        <v>4.0</v>
      </c>
      <c r="H18" s="7">
        <v>2.0</v>
      </c>
      <c r="I18" s="7">
        <v>1.0</v>
      </c>
      <c r="J18" s="7">
        <v>4.0</v>
      </c>
      <c r="K18" s="7">
        <v>3.0</v>
      </c>
      <c r="L18" s="7">
        <v>4.5</v>
      </c>
      <c r="M18" s="8">
        <f t="shared" si="1"/>
        <v>22</v>
      </c>
      <c r="N18" s="8">
        <f>M18+M19</f>
        <v>43</v>
      </c>
      <c r="P18" s="7">
        <v>27.75</v>
      </c>
      <c r="Q18" s="7">
        <v>0.0</v>
      </c>
      <c r="R18" s="8">
        <f t="shared" si="2"/>
        <v>-5.75</v>
      </c>
      <c r="S18" s="7">
        <v>2.25</v>
      </c>
      <c r="T18" s="7">
        <v>3.5</v>
      </c>
      <c r="U18" s="8">
        <f t="shared" si="3"/>
        <v>0</v>
      </c>
      <c r="V18" s="7">
        <v>25.25</v>
      </c>
      <c r="W18" s="8">
        <f t="shared" si="4"/>
        <v>2.5</v>
      </c>
    </row>
    <row r="19">
      <c r="A19" s="9"/>
      <c r="B19" s="6" t="s">
        <v>9</v>
      </c>
      <c r="F19" s="7">
        <v>3.0</v>
      </c>
      <c r="G19" s="7">
        <v>2.5</v>
      </c>
      <c r="H19" s="7">
        <v>2.0</v>
      </c>
      <c r="I19" s="7">
        <v>2.5</v>
      </c>
      <c r="J19" s="7">
        <v>3.0</v>
      </c>
      <c r="K19" s="7">
        <v>3.7</v>
      </c>
      <c r="L19" s="7">
        <v>4.5</v>
      </c>
      <c r="M19" s="7">
        <v>21.0</v>
      </c>
      <c r="P19" s="7">
        <v>11.0</v>
      </c>
      <c r="Q19" s="7">
        <v>10.0</v>
      </c>
      <c r="R19" s="8">
        <f t="shared" si="2"/>
        <v>0</v>
      </c>
      <c r="U19" s="8">
        <f t="shared" si="3"/>
        <v>0</v>
      </c>
      <c r="W19" s="8">
        <f t="shared" si="4"/>
        <v>11</v>
      </c>
    </row>
    <row r="20">
      <c r="A20" s="13">
        <f>A18+1</f>
        <v>46091</v>
      </c>
      <c r="B20" s="6" t="s">
        <v>8</v>
      </c>
      <c r="F20" s="7">
        <v>3.0</v>
      </c>
      <c r="G20" s="7">
        <v>3.0</v>
      </c>
      <c r="H20" s="7">
        <v>4.0</v>
      </c>
      <c r="I20" s="7">
        <v>1.0</v>
      </c>
      <c r="J20" s="7">
        <v>4.5</v>
      </c>
      <c r="K20" s="7">
        <v>4.0</v>
      </c>
      <c r="L20" s="7">
        <v>4.5</v>
      </c>
      <c r="M20" s="8">
        <f t="shared" ref="M20:M32" si="5">SUM(C20:L20)</f>
        <v>24</v>
      </c>
      <c r="N20" s="8">
        <f>M20+M21</f>
        <v>43</v>
      </c>
      <c r="P20" s="7">
        <v>25.5</v>
      </c>
      <c r="Q20" s="7">
        <v>0.0</v>
      </c>
      <c r="R20" s="8">
        <f t="shared" si="2"/>
        <v>-1.5</v>
      </c>
      <c r="S20" s="7">
        <v>0.0</v>
      </c>
      <c r="T20" s="7">
        <v>0.0</v>
      </c>
      <c r="U20" s="8">
        <f t="shared" si="3"/>
        <v>-1.5</v>
      </c>
      <c r="V20" s="7">
        <v>25.5</v>
      </c>
      <c r="W20" s="8">
        <f t="shared" si="4"/>
        <v>0</v>
      </c>
    </row>
    <row r="21" ht="15.75" customHeight="1">
      <c r="A21" s="9"/>
      <c r="B21" s="6" t="s">
        <v>9</v>
      </c>
      <c r="F21" s="7">
        <v>3.0</v>
      </c>
      <c r="G21" s="7">
        <v>2.5</v>
      </c>
      <c r="H21" s="7">
        <v>1.5</v>
      </c>
      <c r="I21" s="7">
        <v>2.0</v>
      </c>
      <c r="J21" s="7">
        <v>3.0</v>
      </c>
      <c r="K21" s="7">
        <v>3.0</v>
      </c>
      <c r="L21" s="7">
        <v>4.0</v>
      </c>
      <c r="M21" s="8">
        <f t="shared" si="5"/>
        <v>19</v>
      </c>
      <c r="P21" s="7">
        <v>0.0</v>
      </c>
      <c r="Q21" s="7">
        <v>19.0</v>
      </c>
      <c r="R21" s="8">
        <f t="shared" si="2"/>
        <v>0</v>
      </c>
      <c r="U21" s="8">
        <f t="shared" si="3"/>
        <v>0</v>
      </c>
      <c r="W21" s="8">
        <f t="shared" si="4"/>
        <v>0</v>
      </c>
    </row>
    <row r="22" ht="15.75" customHeight="1">
      <c r="A22" s="13">
        <f>A20+1</f>
        <v>46092</v>
      </c>
      <c r="B22" s="6" t="s">
        <v>8</v>
      </c>
      <c r="F22" s="7">
        <v>3.5</v>
      </c>
      <c r="G22" s="7">
        <v>3.5</v>
      </c>
      <c r="H22" s="7">
        <v>3.0</v>
      </c>
      <c r="I22" s="7">
        <v>2.0</v>
      </c>
      <c r="J22" s="7">
        <v>4.0</v>
      </c>
      <c r="K22" s="7">
        <v>4.0</v>
      </c>
      <c r="L22" s="7">
        <v>5.0</v>
      </c>
      <c r="M22" s="8">
        <f t="shared" si="5"/>
        <v>25</v>
      </c>
      <c r="N22" s="8">
        <f>M22+M23</f>
        <v>46</v>
      </c>
      <c r="P22" s="7">
        <v>29.25</v>
      </c>
      <c r="Q22" s="7">
        <v>0.0</v>
      </c>
      <c r="R22" s="8">
        <f t="shared" si="2"/>
        <v>-4.25</v>
      </c>
      <c r="S22" s="7">
        <v>1.25</v>
      </c>
      <c r="T22" s="7">
        <v>3.0</v>
      </c>
      <c r="U22" s="8">
        <f t="shared" si="3"/>
        <v>0</v>
      </c>
      <c r="V22" s="7">
        <v>28.75</v>
      </c>
      <c r="W22" s="8">
        <f t="shared" si="4"/>
        <v>0.5</v>
      </c>
    </row>
    <row r="23" ht="15.75" customHeight="1">
      <c r="A23" s="9"/>
      <c r="B23" s="6" t="s">
        <v>9</v>
      </c>
      <c r="F23" s="7">
        <v>3.5</v>
      </c>
      <c r="G23" s="7">
        <v>2.5</v>
      </c>
      <c r="H23" s="7">
        <v>3.0</v>
      </c>
      <c r="I23" s="7">
        <v>1.5</v>
      </c>
      <c r="J23" s="7">
        <v>3.0</v>
      </c>
      <c r="K23" s="7">
        <v>3.0</v>
      </c>
      <c r="L23" s="7">
        <v>4.5</v>
      </c>
      <c r="M23" s="8">
        <f t="shared" si="5"/>
        <v>21</v>
      </c>
      <c r="P23" s="7">
        <v>0.0</v>
      </c>
      <c r="Q23" s="7">
        <v>21.0</v>
      </c>
      <c r="R23" s="8">
        <f t="shared" si="2"/>
        <v>0</v>
      </c>
      <c r="U23" s="8">
        <f t="shared" si="3"/>
        <v>0</v>
      </c>
      <c r="W23" s="8">
        <f t="shared" si="4"/>
        <v>0</v>
      </c>
    </row>
    <row r="24" ht="15.75" customHeight="1">
      <c r="A24" s="13">
        <f>A22+1</f>
        <v>46093</v>
      </c>
      <c r="B24" s="6" t="s">
        <v>8</v>
      </c>
      <c r="F24" s="7">
        <v>4.0</v>
      </c>
      <c r="G24" s="7">
        <v>4.0</v>
      </c>
      <c r="H24" s="7">
        <v>3.0</v>
      </c>
      <c r="I24" s="7">
        <v>2.0</v>
      </c>
      <c r="J24" s="7">
        <v>4.0</v>
      </c>
      <c r="K24" s="7">
        <v>4.0</v>
      </c>
      <c r="L24" s="7">
        <v>5.0</v>
      </c>
      <c r="M24" s="8">
        <f t="shared" si="5"/>
        <v>26</v>
      </c>
      <c r="N24" s="8">
        <f>M24+M25</f>
        <v>46.5</v>
      </c>
      <c r="P24" s="7">
        <v>28.9</v>
      </c>
      <c r="Q24" s="7">
        <v>0.0</v>
      </c>
      <c r="R24" s="8">
        <f t="shared" si="2"/>
        <v>-2.9</v>
      </c>
      <c r="S24" s="7">
        <v>0.0</v>
      </c>
      <c r="T24" s="7">
        <v>2.9</v>
      </c>
      <c r="U24" s="8">
        <f t="shared" si="3"/>
        <v>0</v>
      </c>
      <c r="V24" s="7">
        <v>26.25</v>
      </c>
      <c r="W24" s="8">
        <f t="shared" si="4"/>
        <v>2.65</v>
      </c>
    </row>
    <row r="25" ht="15.75" customHeight="1">
      <c r="A25" s="9"/>
      <c r="B25" s="6" t="s">
        <v>9</v>
      </c>
      <c r="D25" s="14"/>
      <c r="F25" s="7">
        <v>3.5</v>
      </c>
      <c r="G25" s="7">
        <v>2.5</v>
      </c>
      <c r="H25" s="7">
        <v>3.5</v>
      </c>
      <c r="I25" s="7">
        <v>1.0</v>
      </c>
      <c r="J25" s="7">
        <v>3.0</v>
      </c>
      <c r="K25" s="7">
        <v>3.0</v>
      </c>
      <c r="L25" s="7">
        <v>4.0</v>
      </c>
      <c r="M25" s="8">
        <f t="shared" si="5"/>
        <v>20.5</v>
      </c>
      <c r="P25" s="7">
        <v>0.0</v>
      </c>
      <c r="Q25" s="7">
        <v>20.5</v>
      </c>
      <c r="R25" s="8">
        <f t="shared" si="2"/>
        <v>0</v>
      </c>
      <c r="T25" s="7">
        <v>0.0</v>
      </c>
      <c r="U25" s="8">
        <f t="shared" si="3"/>
        <v>0</v>
      </c>
      <c r="W25" s="8">
        <f t="shared" si="4"/>
        <v>0</v>
      </c>
    </row>
    <row r="26" ht="15.75" customHeight="1">
      <c r="A26" s="13">
        <f>A24+1</f>
        <v>46094</v>
      </c>
      <c r="B26" s="6" t="s">
        <v>8</v>
      </c>
      <c r="F26" s="7">
        <v>4.25</v>
      </c>
      <c r="G26" s="7">
        <v>4.0</v>
      </c>
      <c r="H26" s="7">
        <v>3.5</v>
      </c>
      <c r="I26" s="7">
        <v>2.5</v>
      </c>
      <c r="J26" s="7">
        <v>4.0</v>
      </c>
      <c r="K26" s="7">
        <v>4.0</v>
      </c>
      <c r="L26" s="7">
        <v>5.0</v>
      </c>
      <c r="M26" s="8">
        <f t="shared" si="5"/>
        <v>27.25</v>
      </c>
      <c r="N26" s="8">
        <f>M26+M27</f>
        <v>46.25</v>
      </c>
      <c r="O26" s="7">
        <v>0.0</v>
      </c>
      <c r="P26" s="7">
        <v>31.45</v>
      </c>
      <c r="Q26" s="7">
        <v>0.0</v>
      </c>
      <c r="R26" s="8">
        <f t="shared" si="2"/>
        <v>-4.2</v>
      </c>
      <c r="T26" s="7">
        <v>4.2</v>
      </c>
      <c r="U26" s="8">
        <f t="shared" si="3"/>
        <v>0</v>
      </c>
      <c r="V26" s="7">
        <v>30.25</v>
      </c>
      <c r="W26" s="8">
        <f t="shared" si="4"/>
        <v>1.2</v>
      </c>
    </row>
    <row r="27" ht="15.75" customHeight="1">
      <c r="A27" s="9"/>
      <c r="B27" s="6" t="s">
        <v>9</v>
      </c>
      <c r="F27" s="7">
        <v>3.0</v>
      </c>
      <c r="G27" s="7">
        <v>2.5</v>
      </c>
      <c r="H27" s="7">
        <v>2.5</v>
      </c>
      <c r="I27" s="7">
        <v>1.0</v>
      </c>
      <c r="J27" s="7">
        <v>3.0</v>
      </c>
      <c r="K27" s="7">
        <v>3.0</v>
      </c>
      <c r="L27" s="7">
        <v>4.0</v>
      </c>
      <c r="M27" s="8">
        <f t="shared" si="5"/>
        <v>19</v>
      </c>
      <c r="P27" s="7">
        <v>0.0</v>
      </c>
      <c r="Q27" s="7">
        <v>19.0</v>
      </c>
      <c r="R27" s="8">
        <f t="shared" si="2"/>
        <v>0</v>
      </c>
      <c r="U27" s="8">
        <f t="shared" si="3"/>
        <v>0</v>
      </c>
      <c r="W27" s="8">
        <f t="shared" si="4"/>
        <v>0</v>
      </c>
    </row>
    <row r="28" ht="15.75" customHeight="1">
      <c r="A28" s="13">
        <f>A26+1</f>
        <v>46095</v>
      </c>
      <c r="B28" s="6" t="s">
        <v>8</v>
      </c>
      <c r="F28" s="7">
        <v>4.5</v>
      </c>
      <c r="G28" s="7">
        <v>4.0</v>
      </c>
      <c r="H28" s="7">
        <v>3.0</v>
      </c>
      <c r="I28" s="7">
        <v>2.0</v>
      </c>
      <c r="J28" s="7">
        <v>4.0</v>
      </c>
      <c r="K28" s="7">
        <v>4.0</v>
      </c>
      <c r="L28" s="7">
        <v>5.0</v>
      </c>
      <c r="M28" s="8">
        <f t="shared" si="5"/>
        <v>26.5</v>
      </c>
      <c r="N28" s="8">
        <f>M28+M29</f>
        <v>45.5</v>
      </c>
      <c r="P28" s="7">
        <v>29.75</v>
      </c>
      <c r="Q28" s="7">
        <v>0.0</v>
      </c>
      <c r="R28" s="8">
        <f t="shared" si="2"/>
        <v>-3.25</v>
      </c>
      <c r="T28" s="7">
        <v>3.25</v>
      </c>
      <c r="U28" s="8">
        <f t="shared" si="3"/>
        <v>0</v>
      </c>
      <c r="V28" s="7">
        <v>27.25</v>
      </c>
      <c r="W28" s="8">
        <f t="shared" si="4"/>
        <v>2.5</v>
      </c>
    </row>
    <row r="29" ht="15.75" customHeight="1">
      <c r="A29" s="9"/>
      <c r="B29" s="6" t="s">
        <v>9</v>
      </c>
      <c r="F29" s="7">
        <v>3.0</v>
      </c>
      <c r="G29" s="7">
        <v>2.5</v>
      </c>
      <c r="H29" s="7">
        <v>2.5</v>
      </c>
      <c r="I29" s="7">
        <v>1.0</v>
      </c>
      <c r="J29" s="7">
        <v>3.0</v>
      </c>
      <c r="K29" s="7">
        <v>3.0</v>
      </c>
      <c r="L29" s="7">
        <v>4.0</v>
      </c>
      <c r="M29" s="8">
        <f t="shared" si="5"/>
        <v>19</v>
      </c>
      <c r="Q29" s="7">
        <v>19.0</v>
      </c>
      <c r="R29" s="8">
        <f t="shared" si="2"/>
        <v>0</v>
      </c>
      <c r="U29" s="8">
        <f t="shared" si="3"/>
        <v>0</v>
      </c>
      <c r="W29" s="8">
        <f t="shared" si="4"/>
        <v>0</v>
      </c>
    </row>
    <row r="30" ht="15.75" customHeight="1">
      <c r="A30" s="13">
        <f>A28+1</f>
        <v>46096</v>
      </c>
      <c r="B30" s="6" t="s">
        <v>8</v>
      </c>
      <c r="F30" s="7">
        <v>4.0</v>
      </c>
      <c r="G30" s="7">
        <v>4.0</v>
      </c>
      <c r="H30" s="7">
        <v>3.0</v>
      </c>
      <c r="I30" s="7">
        <v>2.0</v>
      </c>
      <c r="J30" s="7">
        <v>4.0</v>
      </c>
      <c r="K30" s="7">
        <v>4.0</v>
      </c>
      <c r="L30" s="7">
        <v>4.75</v>
      </c>
      <c r="M30" s="8">
        <f t="shared" si="5"/>
        <v>25.75</v>
      </c>
      <c r="N30" s="8">
        <f>M30+M31</f>
        <v>45.75</v>
      </c>
      <c r="P30" s="7">
        <v>28.75</v>
      </c>
      <c r="Q30" s="7">
        <v>0.0</v>
      </c>
      <c r="R30" s="8">
        <f t="shared" si="2"/>
        <v>-3</v>
      </c>
      <c r="T30" s="7">
        <v>3.0</v>
      </c>
      <c r="U30" s="8">
        <f t="shared" si="3"/>
        <v>0</v>
      </c>
      <c r="V30" s="7">
        <v>25.25</v>
      </c>
      <c r="W30" s="8">
        <f t="shared" si="4"/>
        <v>3.5</v>
      </c>
    </row>
    <row r="31" ht="15.75" customHeight="1">
      <c r="A31" s="9"/>
      <c r="B31" s="6" t="s">
        <v>9</v>
      </c>
      <c r="F31" s="7">
        <v>3.5</v>
      </c>
      <c r="G31" s="7">
        <v>2.5</v>
      </c>
      <c r="H31" s="7">
        <v>2.5</v>
      </c>
      <c r="I31" s="7">
        <v>1.5</v>
      </c>
      <c r="J31" s="7">
        <v>3.0</v>
      </c>
      <c r="K31" s="7">
        <v>3.0</v>
      </c>
      <c r="L31" s="7">
        <v>4.0</v>
      </c>
      <c r="M31" s="8">
        <f t="shared" si="5"/>
        <v>20</v>
      </c>
      <c r="Q31" s="7">
        <v>20.0</v>
      </c>
      <c r="R31" s="8">
        <f t="shared" si="2"/>
        <v>0</v>
      </c>
      <c r="U31" s="8">
        <f t="shared" si="3"/>
        <v>0</v>
      </c>
      <c r="W31" s="8">
        <f t="shared" si="4"/>
        <v>0</v>
      </c>
    </row>
    <row r="32" ht="15.75" customHeight="1">
      <c r="A32" s="13">
        <f>A30+1</f>
        <v>46097</v>
      </c>
      <c r="B32" s="6" t="s">
        <v>8</v>
      </c>
      <c r="F32" s="7">
        <v>4.0</v>
      </c>
      <c r="G32" s="7">
        <v>4.0</v>
      </c>
      <c r="H32" s="7">
        <v>2.0</v>
      </c>
      <c r="I32" s="7">
        <v>2.0</v>
      </c>
      <c r="J32" s="7">
        <v>4.0</v>
      </c>
      <c r="K32" s="7">
        <v>4.0</v>
      </c>
      <c r="L32" s="7">
        <v>4.5</v>
      </c>
      <c r="M32" s="8">
        <f t="shared" si="5"/>
        <v>24.5</v>
      </c>
      <c r="N32" s="8">
        <f>M32+M33</f>
        <v>44.5</v>
      </c>
      <c r="P32" s="7">
        <v>29.7</v>
      </c>
      <c r="Q32" s="7">
        <v>0.0</v>
      </c>
      <c r="R32" s="8">
        <f t="shared" si="2"/>
        <v>-5.2</v>
      </c>
      <c r="S32" s="7">
        <v>2.0</v>
      </c>
      <c r="T32" s="7">
        <v>3.2</v>
      </c>
      <c r="U32" s="8">
        <f t="shared" si="3"/>
        <v>0</v>
      </c>
      <c r="V32" s="7">
        <v>27.73</v>
      </c>
      <c r="W32" s="8">
        <f t="shared" si="4"/>
        <v>1.97</v>
      </c>
      <c r="X32" s="8">
        <f t="shared" ref="X32:X63" si="6">P32-V32-W32</f>
        <v>0</v>
      </c>
    </row>
    <row r="33" ht="15.75" customHeight="1">
      <c r="A33" s="9"/>
      <c r="B33" s="6" t="s">
        <v>9</v>
      </c>
      <c r="F33" s="7">
        <v>3.0</v>
      </c>
      <c r="G33" s="7">
        <v>2.5</v>
      </c>
      <c r="H33" s="7">
        <v>3.0</v>
      </c>
      <c r="I33" s="7">
        <v>1.5</v>
      </c>
      <c r="J33" s="7">
        <v>3.0</v>
      </c>
      <c r="K33" s="7">
        <v>3.0</v>
      </c>
      <c r="L33" s="7">
        <v>4.0</v>
      </c>
      <c r="M33" s="7">
        <v>20.0</v>
      </c>
      <c r="Q33" s="7">
        <v>20.0</v>
      </c>
      <c r="R33" s="8">
        <f t="shared" si="2"/>
        <v>0</v>
      </c>
      <c r="U33" s="8">
        <f t="shared" si="3"/>
        <v>0</v>
      </c>
      <c r="X33" s="8">
        <f t="shared" si="6"/>
        <v>0</v>
      </c>
    </row>
    <row r="34" ht="15.75" customHeight="1">
      <c r="A34" s="13">
        <f>A32+1</f>
        <v>46098</v>
      </c>
      <c r="B34" s="6" t="s">
        <v>8</v>
      </c>
      <c r="F34" s="7">
        <v>4.0</v>
      </c>
      <c r="G34" s="7">
        <v>4.0</v>
      </c>
      <c r="H34" s="7">
        <v>3.0</v>
      </c>
      <c r="I34" s="7">
        <v>2.0</v>
      </c>
      <c r="J34" s="7">
        <v>4.0</v>
      </c>
      <c r="K34" s="7">
        <v>4.0</v>
      </c>
      <c r="L34" s="7" t="s">
        <v>40</v>
      </c>
      <c r="M34" s="8">
        <f t="shared" ref="M34:M62" si="7">SUM(C34:L34)</f>
        <v>21</v>
      </c>
      <c r="N34" s="8">
        <f>M34+M35</f>
        <v>41</v>
      </c>
      <c r="P34" s="7">
        <v>29.3</v>
      </c>
      <c r="Q34" s="7">
        <v>0.0</v>
      </c>
      <c r="R34" s="8">
        <f t="shared" si="2"/>
        <v>-8.3</v>
      </c>
      <c r="S34" s="7">
        <v>1.0</v>
      </c>
      <c r="T34" s="7">
        <v>2.8</v>
      </c>
      <c r="U34" s="8">
        <f t="shared" si="3"/>
        <v>-4.5</v>
      </c>
      <c r="V34" s="7">
        <v>29.5</v>
      </c>
      <c r="W34" s="7">
        <v>0.0</v>
      </c>
      <c r="X34" s="8">
        <f t="shared" si="6"/>
        <v>-0.2</v>
      </c>
    </row>
    <row r="35" ht="15.75" customHeight="1">
      <c r="A35" s="9"/>
      <c r="B35" s="6" t="s">
        <v>9</v>
      </c>
      <c r="F35" s="7">
        <v>3.5</v>
      </c>
      <c r="G35" s="7">
        <v>2.5</v>
      </c>
      <c r="H35" s="7">
        <v>2.5</v>
      </c>
      <c r="I35" s="7">
        <v>2.0</v>
      </c>
      <c r="J35" s="7">
        <v>3.0</v>
      </c>
      <c r="K35" s="7">
        <v>3.0</v>
      </c>
      <c r="L35" s="7">
        <v>3.5</v>
      </c>
      <c r="M35" s="8">
        <f t="shared" si="7"/>
        <v>20</v>
      </c>
      <c r="R35" s="8">
        <f t="shared" si="2"/>
        <v>20</v>
      </c>
      <c r="U35" s="8">
        <f t="shared" si="3"/>
        <v>20</v>
      </c>
      <c r="X35" s="8">
        <f t="shared" si="6"/>
        <v>0</v>
      </c>
    </row>
    <row r="36" ht="15.75" customHeight="1">
      <c r="A36" s="13">
        <f>A34+1</f>
        <v>46099</v>
      </c>
      <c r="B36" s="6" t="s">
        <v>8</v>
      </c>
      <c r="F36" s="7">
        <v>4.0</v>
      </c>
      <c r="G36" s="7">
        <v>4.0</v>
      </c>
      <c r="H36" s="7">
        <v>3.0</v>
      </c>
      <c r="I36" s="7">
        <v>2.0</v>
      </c>
      <c r="J36" s="7">
        <v>4.0</v>
      </c>
      <c r="K36" s="7">
        <v>4.0</v>
      </c>
      <c r="L36" s="7">
        <v>4.0</v>
      </c>
      <c r="M36" s="8">
        <f t="shared" si="7"/>
        <v>25</v>
      </c>
      <c r="N36" s="8">
        <f>M36+M37</f>
        <v>45</v>
      </c>
      <c r="P36" s="7">
        <v>29.0</v>
      </c>
      <c r="Q36" s="7">
        <v>0.0</v>
      </c>
      <c r="R36" s="8">
        <f t="shared" si="2"/>
        <v>-4</v>
      </c>
      <c r="S36" s="7">
        <v>1.0</v>
      </c>
      <c r="T36" s="7">
        <v>3.0</v>
      </c>
      <c r="U36" s="8">
        <f t="shared" si="3"/>
        <v>0</v>
      </c>
      <c r="V36" s="7">
        <v>27.0</v>
      </c>
      <c r="W36" s="7">
        <v>2.0</v>
      </c>
      <c r="X36" s="8">
        <f t="shared" si="6"/>
        <v>0</v>
      </c>
    </row>
    <row r="37" ht="12.0" customHeight="1">
      <c r="A37" s="9"/>
      <c r="B37" s="6" t="s">
        <v>9</v>
      </c>
      <c r="F37" s="7">
        <v>3.5</v>
      </c>
      <c r="G37" s="7">
        <v>2.5</v>
      </c>
      <c r="H37" s="7">
        <v>2.5</v>
      </c>
      <c r="I37" s="7">
        <v>2.0</v>
      </c>
      <c r="J37" s="7">
        <v>3.0</v>
      </c>
      <c r="K37" s="7">
        <v>3.0</v>
      </c>
      <c r="L37" s="7">
        <v>3.5</v>
      </c>
      <c r="M37" s="8">
        <f t="shared" si="7"/>
        <v>20</v>
      </c>
      <c r="R37" s="8">
        <f t="shared" si="2"/>
        <v>20</v>
      </c>
      <c r="U37" s="8">
        <f t="shared" si="3"/>
        <v>20</v>
      </c>
      <c r="X37" s="8">
        <f t="shared" si="6"/>
        <v>0</v>
      </c>
    </row>
    <row r="38" ht="15.75" customHeight="1">
      <c r="A38" s="13">
        <f>A36+1</f>
        <v>46100</v>
      </c>
      <c r="B38" s="6" t="s">
        <v>8</v>
      </c>
      <c r="F38" s="7">
        <v>4.0</v>
      </c>
      <c r="G38" s="7">
        <v>4.0</v>
      </c>
      <c r="H38" s="7">
        <v>3.0</v>
      </c>
      <c r="I38" s="7">
        <v>2.5</v>
      </c>
      <c r="J38" s="7">
        <v>4.0</v>
      </c>
      <c r="K38" s="7">
        <v>4.0</v>
      </c>
      <c r="L38" s="7">
        <v>4.5</v>
      </c>
      <c r="M38" s="8">
        <f t="shared" si="7"/>
        <v>26</v>
      </c>
      <c r="N38" s="8">
        <f>M38+M39</f>
        <v>46</v>
      </c>
      <c r="P38" s="7">
        <v>29.9</v>
      </c>
      <c r="Q38" s="7">
        <v>0.0</v>
      </c>
      <c r="R38" s="8">
        <f t="shared" si="2"/>
        <v>-3.9</v>
      </c>
      <c r="S38" s="7">
        <v>1.0</v>
      </c>
      <c r="T38" s="7">
        <v>2.9</v>
      </c>
      <c r="U38" s="8">
        <f t="shared" si="3"/>
        <v>0</v>
      </c>
      <c r="V38" s="7">
        <v>29.9</v>
      </c>
      <c r="W38" s="7">
        <v>0.5</v>
      </c>
      <c r="X38" s="8">
        <f t="shared" si="6"/>
        <v>-0.5</v>
      </c>
    </row>
    <row r="39" ht="15.75" customHeight="1">
      <c r="A39" s="9"/>
      <c r="B39" s="6" t="s">
        <v>9</v>
      </c>
      <c r="F39" s="7">
        <v>3.5</v>
      </c>
      <c r="G39" s="7">
        <v>2.5</v>
      </c>
      <c r="H39" s="7">
        <v>2.5</v>
      </c>
      <c r="I39" s="7">
        <v>2.0</v>
      </c>
      <c r="J39" s="7">
        <v>3.0</v>
      </c>
      <c r="K39" s="7">
        <v>3.0</v>
      </c>
      <c r="L39" s="7">
        <v>3.5</v>
      </c>
      <c r="M39" s="8">
        <f t="shared" si="7"/>
        <v>20</v>
      </c>
      <c r="R39" s="8">
        <f t="shared" si="2"/>
        <v>20</v>
      </c>
      <c r="U39" s="8">
        <f t="shared" si="3"/>
        <v>20</v>
      </c>
      <c r="X39" s="8">
        <f t="shared" si="6"/>
        <v>0</v>
      </c>
    </row>
    <row r="40" ht="15.75" customHeight="1">
      <c r="A40" s="13">
        <f>A38+1</f>
        <v>46101</v>
      </c>
      <c r="B40" s="6" t="s">
        <v>8</v>
      </c>
      <c r="F40" s="7">
        <v>4.0</v>
      </c>
      <c r="G40" s="7">
        <v>4.0</v>
      </c>
      <c r="H40" s="7">
        <v>2.5</v>
      </c>
      <c r="I40" s="7">
        <v>3.0</v>
      </c>
      <c r="J40" s="7">
        <v>4.0</v>
      </c>
      <c r="K40" s="7">
        <v>4.0</v>
      </c>
      <c r="L40" s="7">
        <v>4.5</v>
      </c>
      <c r="M40" s="8">
        <f t="shared" si="7"/>
        <v>26</v>
      </c>
      <c r="N40" s="8">
        <f>M40+M41</f>
        <v>46</v>
      </c>
      <c r="P40" s="7">
        <v>31.1</v>
      </c>
      <c r="Q40" s="7">
        <v>0.0</v>
      </c>
      <c r="R40" s="8">
        <f t="shared" si="2"/>
        <v>-5.1</v>
      </c>
      <c r="S40" s="7">
        <v>1.5</v>
      </c>
      <c r="T40" s="7">
        <v>3.6</v>
      </c>
      <c r="U40" s="8">
        <f t="shared" si="3"/>
        <v>0</v>
      </c>
      <c r="V40" s="7">
        <v>29.72</v>
      </c>
      <c r="W40" s="7">
        <v>2.0</v>
      </c>
      <c r="X40" s="8">
        <f t="shared" si="6"/>
        <v>-0.62</v>
      </c>
    </row>
    <row r="41" ht="15.75" customHeight="1">
      <c r="A41" s="9"/>
      <c r="B41" s="6" t="s">
        <v>9</v>
      </c>
      <c r="F41" s="7">
        <v>3.5</v>
      </c>
      <c r="G41" s="7">
        <v>2.5</v>
      </c>
      <c r="H41" s="7">
        <v>2.5</v>
      </c>
      <c r="I41" s="7">
        <v>1.5</v>
      </c>
      <c r="J41" s="7">
        <v>3.0</v>
      </c>
      <c r="K41" s="7">
        <v>3.5</v>
      </c>
      <c r="L41" s="7">
        <v>3.5</v>
      </c>
      <c r="M41" s="8">
        <f t="shared" si="7"/>
        <v>20</v>
      </c>
      <c r="Q41" s="7">
        <v>20.0</v>
      </c>
      <c r="R41" s="8">
        <f t="shared" si="2"/>
        <v>0</v>
      </c>
      <c r="U41" s="8">
        <f t="shared" si="3"/>
        <v>0</v>
      </c>
      <c r="X41" s="8">
        <f t="shared" si="6"/>
        <v>0</v>
      </c>
    </row>
    <row r="42" ht="15.75" customHeight="1">
      <c r="A42" s="13">
        <f>A40+1</f>
        <v>46102</v>
      </c>
      <c r="B42" s="6" t="s">
        <v>8</v>
      </c>
      <c r="F42" s="7">
        <v>4.0</v>
      </c>
      <c r="G42" s="7">
        <v>4.0</v>
      </c>
      <c r="H42" s="7">
        <v>3.0</v>
      </c>
      <c r="I42" s="7">
        <v>3.0</v>
      </c>
      <c r="J42" s="7">
        <v>4.0</v>
      </c>
      <c r="K42" s="7">
        <v>4.0</v>
      </c>
      <c r="L42" s="7">
        <v>4.5</v>
      </c>
      <c r="M42" s="8">
        <f t="shared" si="7"/>
        <v>26.5</v>
      </c>
      <c r="N42" s="8">
        <f>M42+M43</f>
        <v>46</v>
      </c>
      <c r="P42" s="7">
        <v>30.9</v>
      </c>
      <c r="Q42" s="7">
        <v>0.0</v>
      </c>
      <c r="R42" s="8">
        <f t="shared" si="2"/>
        <v>-4.4</v>
      </c>
      <c r="S42" s="7">
        <v>1.5</v>
      </c>
      <c r="T42" s="7">
        <v>2.9</v>
      </c>
      <c r="U42" s="8">
        <f t="shared" si="3"/>
        <v>0</v>
      </c>
      <c r="V42" s="7">
        <v>28.22</v>
      </c>
      <c r="W42" s="7">
        <v>2.0</v>
      </c>
      <c r="X42" s="8">
        <f t="shared" si="6"/>
        <v>0.68</v>
      </c>
    </row>
    <row r="43" ht="15.75" customHeight="1">
      <c r="A43" s="9"/>
      <c r="B43" s="6" t="s">
        <v>9</v>
      </c>
      <c r="F43" s="7">
        <v>3.5</v>
      </c>
      <c r="G43" s="7">
        <v>2.5</v>
      </c>
      <c r="H43" s="7">
        <v>2.5</v>
      </c>
      <c r="I43" s="7">
        <v>2.0</v>
      </c>
      <c r="J43" s="7">
        <v>3.0</v>
      </c>
      <c r="K43" s="7">
        <v>2.5</v>
      </c>
      <c r="L43" s="7">
        <v>3.5</v>
      </c>
      <c r="M43" s="8">
        <f t="shared" si="7"/>
        <v>19.5</v>
      </c>
      <c r="Q43" s="7">
        <v>19.5</v>
      </c>
      <c r="R43" s="8">
        <f t="shared" si="2"/>
        <v>0</v>
      </c>
      <c r="U43" s="8">
        <f t="shared" si="3"/>
        <v>0</v>
      </c>
      <c r="X43" s="8">
        <f t="shared" si="6"/>
        <v>0</v>
      </c>
    </row>
    <row r="44" ht="15.75" customHeight="1">
      <c r="A44" s="13">
        <f>A42+1</f>
        <v>46103</v>
      </c>
      <c r="B44" s="6" t="s">
        <v>8</v>
      </c>
      <c r="F44" s="7">
        <v>4.0</v>
      </c>
      <c r="G44" s="7">
        <v>4.0</v>
      </c>
      <c r="H44" s="7">
        <v>2.0</v>
      </c>
      <c r="I44" s="7">
        <v>2.0</v>
      </c>
      <c r="J44" s="7">
        <v>4.0</v>
      </c>
      <c r="K44" s="7">
        <v>4.0</v>
      </c>
      <c r="L44" s="7">
        <v>4.5</v>
      </c>
      <c r="M44" s="8">
        <f t="shared" si="7"/>
        <v>24.5</v>
      </c>
      <c r="N44" s="8">
        <f>M44+M45</f>
        <v>45</v>
      </c>
      <c r="P44" s="7">
        <v>29.1</v>
      </c>
      <c r="R44" s="8">
        <f t="shared" si="2"/>
        <v>-4.6</v>
      </c>
      <c r="S44" s="7">
        <v>2.0</v>
      </c>
      <c r="T44" s="7">
        <v>2.6</v>
      </c>
      <c r="U44" s="8">
        <f t="shared" si="3"/>
        <v>0</v>
      </c>
      <c r="V44" s="7">
        <v>27.75</v>
      </c>
      <c r="W44" s="7">
        <v>0.0</v>
      </c>
      <c r="X44" s="8">
        <f t="shared" si="6"/>
        <v>1.35</v>
      </c>
    </row>
    <row r="45" ht="15.75" customHeight="1">
      <c r="A45" s="9"/>
      <c r="B45" s="6" t="s">
        <v>9</v>
      </c>
      <c r="F45" s="7">
        <v>4.0</v>
      </c>
      <c r="G45" s="7">
        <v>2.5</v>
      </c>
      <c r="H45" s="7">
        <v>2.5</v>
      </c>
      <c r="I45" s="7">
        <v>2.0</v>
      </c>
      <c r="J45" s="7">
        <v>3.0</v>
      </c>
      <c r="K45" s="7">
        <v>2.5</v>
      </c>
      <c r="L45" s="7">
        <v>4.0</v>
      </c>
      <c r="M45" s="8">
        <f t="shared" si="7"/>
        <v>20.5</v>
      </c>
      <c r="P45" s="7">
        <v>0.5</v>
      </c>
      <c r="Q45" s="7">
        <v>20.0</v>
      </c>
      <c r="R45" s="8">
        <f t="shared" si="2"/>
        <v>0</v>
      </c>
      <c r="U45" s="8">
        <f t="shared" si="3"/>
        <v>0</v>
      </c>
      <c r="V45" s="7">
        <v>0.5</v>
      </c>
      <c r="W45" s="7">
        <v>0.0</v>
      </c>
      <c r="X45" s="8">
        <f t="shared" si="6"/>
        <v>0</v>
      </c>
    </row>
    <row r="46" ht="15.75" customHeight="1">
      <c r="A46" s="13">
        <f>A44+1</f>
        <v>46104</v>
      </c>
      <c r="B46" s="6" t="s">
        <v>8</v>
      </c>
      <c r="F46" s="7">
        <v>4.0</v>
      </c>
      <c r="G46" s="7">
        <v>4.0</v>
      </c>
      <c r="H46" s="7">
        <v>2.5</v>
      </c>
      <c r="I46" s="7">
        <v>2.5</v>
      </c>
      <c r="J46" s="7">
        <v>4.0</v>
      </c>
      <c r="K46" s="7">
        <v>4.0</v>
      </c>
      <c r="L46" s="7">
        <v>4.5</v>
      </c>
      <c r="M46" s="8">
        <f t="shared" si="7"/>
        <v>25.5</v>
      </c>
      <c r="N46" s="8">
        <f>M46+M47</f>
        <v>44.5</v>
      </c>
      <c r="P46" s="7">
        <v>29.9</v>
      </c>
      <c r="Q46" s="7">
        <v>0.0</v>
      </c>
      <c r="R46" s="8">
        <f t="shared" si="2"/>
        <v>-4.4</v>
      </c>
      <c r="S46" s="7">
        <v>1.5</v>
      </c>
      <c r="T46" s="7">
        <v>2.9</v>
      </c>
      <c r="U46" s="8">
        <f t="shared" si="3"/>
        <v>0</v>
      </c>
      <c r="V46" s="7">
        <v>29.7</v>
      </c>
      <c r="W46" s="7">
        <v>2.25</v>
      </c>
      <c r="X46" s="8">
        <f t="shared" si="6"/>
        <v>-2.05</v>
      </c>
    </row>
    <row r="47" ht="15.75" customHeight="1">
      <c r="A47" s="9"/>
      <c r="B47" s="6" t="s">
        <v>9</v>
      </c>
      <c r="F47" s="7">
        <v>3.5</v>
      </c>
      <c r="G47" s="7">
        <v>2.5</v>
      </c>
      <c r="H47" s="7">
        <v>2.0</v>
      </c>
      <c r="I47" s="7">
        <v>2.5</v>
      </c>
      <c r="J47" s="7">
        <v>3.0</v>
      </c>
      <c r="K47" s="7">
        <v>1.5</v>
      </c>
      <c r="L47" s="7">
        <v>4.0</v>
      </c>
      <c r="M47" s="8">
        <f t="shared" si="7"/>
        <v>19</v>
      </c>
      <c r="P47" s="7">
        <v>2.0</v>
      </c>
      <c r="Q47" s="7">
        <v>17.0</v>
      </c>
      <c r="R47" s="8">
        <f t="shared" si="2"/>
        <v>0</v>
      </c>
      <c r="U47" s="8">
        <f t="shared" si="3"/>
        <v>0</v>
      </c>
      <c r="X47" s="8">
        <f t="shared" si="6"/>
        <v>2</v>
      </c>
      <c r="Z47" s="8">
        <f>26+5.1</f>
        <v>31.1</v>
      </c>
    </row>
    <row r="48" ht="15.75" customHeight="1">
      <c r="A48" s="13">
        <f>A46+1</f>
        <v>46105</v>
      </c>
      <c r="B48" s="6" t="s">
        <v>8</v>
      </c>
      <c r="F48" s="7">
        <v>4.5</v>
      </c>
      <c r="G48" s="7">
        <v>4.0</v>
      </c>
      <c r="H48" s="7">
        <v>3.5</v>
      </c>
      <c r="I48" s="7">
        <v>3.0</v>
      </c>
      <c r="J48" s="7">
        <v>4.0</v>
      </c>
      <c r="K48" s="7">
        <v>4.0</v>
      </c>
      <c r="L48" s="7">
        <v>5.0</v>
      </c>
      <c r="M48" s="8">
        <f t="shared" si="7"/>
        <v>28</v>
      </c>
      <c r="N48" s="8">
        <f>M48+M49</f>
        <v>46.5</v>
      </c>
      <c r="P48" s="7">
        <v>30.0</v>
      </c>
      <c r="Q48" s="7">
        <v>3.0</v>
      </c>
      <c r="R48" s="8">
        <f t="shared" si="2"/>
        <v>-5</v>
      </c>
      <c r="S48" s="7">
        <v>1.1</v>
      </c>
      <c r="T48" s="7">
        <v>3.9</v>
      </c>
      <c r="U48" s="8">
        <f t="shared" si="3"/>
        <v>0</v>
      </c>
      <c r="V48" s="7">
        <v>30.22</v>
      </c>
      <c r="W48" s="7">
        <v>0.0</v>
      </c>
      <c r="X48" s="8">
        <f t="shared" si="6"/>
        <v>-0.22</v>
      </c>
    </row>
    <row r="49" ht="15.75" customHeight="1">
      <c r="A49" s="9"/>
      <c r="B49" s="6" t="s">
        <v>9</v>
      </c>
      <c r="F49" s="7">
        <v>3.5</v>
      </c>
      <c r="G49" s="7">
        <v>2.5</v>
      </c>
      <c r="H49" s="7">
        <v>2.0</v>
      </c>
      <c r="I49" s="7">
        <v>2.0</v>
      </c>
      <c r="J49" s="7">
        <v>3.0</v>
      </c>
      <c r="K49" s="7">
        <v>2.0</v>
      </c>
      <c r="L49" s="7">
        <v>3.5</v>
      </c>
      <c r="M49" s="8">
        <f t="shared" si="7"/>
        <v>18.5</v>
      </c>
      <c r="P49" s="7">
        <v>1.5</v>
      </c>
      <c r="Q49" s="7">
        <v>17.0</v>
      </c>
      <c r="R49" s="8">
        <f t="shared" si="2"/>
        <v>0</v>
      </c>
      <c r="U49" s="8">
        <f t="shared" si="3"/>
        <v>0</v>
      </c>
      <c r="V49" s="7">
        <v>1.5</v>
      </c>
      <c r="X49" s="8">
        <f t="shared" si="6"/>
        <v>0</v>
      </c>
    </row>
    <row r="50" ht="15.75" customHeight="1">
      <c r="A50" s="13">
        <f>A48+1</f>
        <v>46106</v>
      </c>
      <c r="B50" s="15" t="s">
        <v>8</v>
      </c>
      <c r="F50" s="7">
        <v>4.0</v>
      </c>
      <c r="G50" s="7">
        <v>4.0</v>
      </c>
      <c r="H50" s="7">
        <v>2.75</v>
      </c>
      <c r="I50" s="7">
        <v>3.0</v>
      </c>
      <c r="J50" s="7">
        <v>4.0</v>
      </c>
      <c r="K50" s="7">
        <v>4.0</v>
      </c>
      <c r="L50" s="7">
        <v>5.0</v>
      </c>
      <c r="M50" s="8">
        <f t="shared" si="7"/>
        <v>26.75</v>
      </c>
      <c r="N50" s="8">
        <f>M50+M51</f>
        <v>46.25</v>
      </c>
      <c r="P50" s="7">
        <v>31.75</v>
      </c>
      <c r="Q50" s="7">
        <v>0.0</v>
      </c>
      <c r="R50" s="8">
        <f t="shared" si="2"/>
        <v>-5</v>
      </c>
      <c r="S50" s="7">
        <v>2.0</v>
      </c>
      <c r="T50" s="7">
        <v>3.0</v>
      </c>
      <c r="U50" s="8">
        <f t="shared" si="3"/>
        <v>0</v>
      </c>
      <c r="V50" s="7">
        <v>33.25</v>
      </c>
      <c r="W50" s="7">
        <v>0.5</v>
      </c>
      <c r="X50" s="8">
        <f t="shared" si="6"/>
        <v>-2</v>
      </c>
    </row>
    <row r="51" ht="15.75" customHeight="1">
      <c r="A51" s="9"/>
      <c r="B51" s="6" t="s">
        <v>9</v>
      </c>
      <c r="F51" s="7">
        <v>3.5</v>
      </c>
      <c r="G51" s="7">
        <v>2.5</v>
      </c>
      <c r="H51" s="7">
        <v>1.5</v>
      </c>
      <c r="I51" s="7">
        <v>2.5</v>
      </c>
      <c r="J51" s="7">
        <v>3.0</v>
      </c>
      <c r="K51" s="7">
        <v>2.5</v>
      </c>
      <c r="L51" s="7">
        <v>4.0</v>
      </c>
      <c r="M51" s="8">
        <f t="shared" si="7"/>
        <v>19.5</v>
      </c>
      <c r="P51" s="7">
        <v>3.0</v>
      </c>
      <c r="Q51" s="7">
        <v>16.5</v>
      </c>
      <c r="R51" s="8">
        <f t="shared" si="2"/>
        <v>0</v>
      </c>
      <c r="U51" s="8">
        <f t="shared" si="3"/>
        <v>0</v>
      </c>
      <c r="V51" s="7">
        <v>3.0</v>
      </c>
      <c r="X51" s="8">
        <f t="shared" si="6"/>
        <v>0</v>
      </c>
    </row>
    <row r="52" ht="15.75" customHeight="1">
      <c r="A52" s="13">
        <f>A50+1</f>
        <v>46107</v>
      </c>
      <c r="B52" s="6" t="s">
        <v>8</v>
      </c>
      <c r="F52" s="7">
        <v>4.0</v>
      </c>
      <c r="G52" s="7">
        <v>4.0</v>
      </c>
      <c r="H52" s="7">
        <v>2.5</v>
      </c>
      <c r="I52" s="7">
        <v>3.0</v>
      </c>
      <c r="J52" s="7">
        <v>4.0</v>
      </c>
      <c r="K52" s="7">
        <v>4.0</v>
      </c>
      <c r="L52" s="7">
        <v>5.0</v>
      </c>
      <c r="M52" s="8">
        <f t="shared" si="7"/>
        <v>26.5</v>
      </c>
      <c r="N52" s="8">
        <f>M52+M53</f>
        <v>47.5</v>
      </c>
      <c r="P52" s="7">
        <v>31.5</v>
      </c>
      <c r="Q52" s="7">
        <v>0.0</v>
      </c>
      <c r="R52" s="8">
        <f t="shared" si="2"/>
        <v>-5</v>
      </c>
      <c r="S52" s="7">
        <v>2.0</v>
      </c>
      <c r="T52" s="7">
        <v>3.0</v>
      </c>
      <c r="U52" s="8">
        <f t="shared" si="3"/>
        <v>0</v>
      </c>
      <c r="V52" s="7">
        <v>34.23</v>
      </c>
      <c r="W52" s="7">
        <v>0.75</v>
      </c>
      <c r="X52" s="8">
        <f t="shared" si="6"/>
        <v>-3.48</v>
      </c>
    </row>
    <row r="53" ht="15.75" customHeight="1">
      <c r="A53" s="9"/>
      <c r="B53" s="6" t="s">
        <v>9</v>
      </c>
      <c r="F53" s="7">
        <v>3.5</v>
      </c>
      <c r="G53" s="7">
        <v>2.5</v>
      </c>
      <c r="H53" s="7">
        <v>3.0</v>
      </c>
      <c r="I53" s="7">
        <v>2.0</v>
      </c>
      <c r="J53" s="7">
        <v>3.0</v>
      </c>
      <c r="K53" s="7">
        <v>3.0</v>
      </c>
      <c r="L53" s="7">
        <v>4.0</v>
      </c>
      <c r="M53" s="8">
        <f t="shared" si="7"/>
        <v>21</v>
      </c>
      <c r="P53" s="7">
        <v>3.0</v>
      </c>
      <c r="Q53" s="7">
        <v>18.0</v>
      </c>
      <c r="R53" s="8">
        <f t="shared" si="2"/>
        <v>0</v>
      </c>
      <c r="S53" s="7">
        <v>0.0</v>
      </c>
      <c r="T53" s="7">
        <v>0.0</v>
      </c>
      <c r="U53" s="8">
        <f t="shared" si="3"/>
        <v>0</v>
      </c>
      <c r="V53" s="7">
        <v>3.0</v>
      </c>
      <c r="W53" s="7">
        <v>0.0</v>
      </c>
      <c r="X53" s="8">
        <f t="shared" si="6"/>
        <v>0</v>
      </c>
    </row>
    <row r="54" ht="15.75" customHeight="1">
      <c r="A54" s="13">
        <f>A52+1</f>
        <v>46108</v>
      </c>
      <c r="B54" s="6" t="s">
        <v>8</v>
      </c>
      <c r="F54" s="7">
        <v>4.0</v>
      </c>
      <c r="G54" s="7">
        <v>4.0</v>
      </c>
      <c r="H54" s="7">
        <v>2.5</v>
      </c>
      <c r="I54" s="7">
        <v>3.0</v>
      </c>
      <c r="J54" s="7">
        <v>4.0</v>
      </c>
      <c r="K54" s="7">
        <v>4.0</v>
      </c>
      <c r="L54" s="7">
        <v>5.0</v>
      </c>
      <c r="M54" s="8">
        <f t="shared" si="7"/>
        <v>26.5</v>
      </c>
      <c r="N54" s="8">
        <f>M54+M55</f>
        <v>46.5</v>
      </c>
      <c r="P54" s="7">
        <v>32.5</v>
      </c>
      <c r="Q54" s="7">
        <v>0.0</v>
      </c>
      <c r="R54" s="8">
        <f t="shared" si="2"/>
        <v>-6</v>
      </c>
      <c r="S54" s="7">
        <v>3.0</v>
      </c>
      <c r="T54" s="7">
        <v>3.0</v>
      </c>
      <c r="U54" s="8">
        <f t="shared" si="3"/>
        <v>0</v>
      </c>
      <c r="V54" s="7">
        <v>34.72</v>
      </c>
      <c r="W54" s="7">
        <v>0.25</v>
      </c>
      <c r="X54" s="8">
        <f t="shared" si="6"/>
        <v>-2.47</v>
      </c>
    </row>
    <row r="55" ht="15.75" customHeight="1">
      <c r="A55" s="9"/>
      <c r="B55" s="6" t="s">
        <v>9</v>
      </c>
      <c r="F55" s="7">
        <v>3.5</v>
      </c>
      <c r="G55" s="7">
        <v>2.5</v>
      </c>
      <c r="H55" s="7">
        <v>2.5</v>
      </c>
      <c r="I55" s="7">
        <v>2.0</v>
      </c>
      <c r="J55" s="7">
        <v>3.0</v>
      </c>
      <c r="K55" s="7">
        <v>2.5</v>
      </c>
      <c r="L55" s="7">
        <v>4.0</v>
      </c>
      <c r="M55" s="8">
        <f t="shared" si="7"/>
        <v>20</v>
      </c>
      <c r="P55" s="7">
        <v>3.0</v>
      </c>
      <c r="Q55" s="7">
        <v>17.0</v>
      </c>
      <c r="R55" s="8">
        <f t="shared" si="2"/>
        <v>0</v>
      </c>
      <c r="U55" s="8">
        <f t="shared" si="3"/>
        <v>0</v>
      </c>
      <c r="V55" s="7">
        <v>3.0</v>
      </c>
      <c r="X55" s="8">
        <f t="shared" si="6"/>
        <v>0</v>
      </c>
    </row>
    <row r="56" ht="15.75" customHeight="1">
      <c r="A56" s="13">
        <f>A54+1</f>
        <v>46109</v>
      </c>
      <c r="B56" s="6" t="s">
        <v>8</v>
      </c>
      <c r="F56" s="7">
        <v>4.0</v>
      </c>
      <c r="G56" s="7">
        <v>4.5</v>
      </c>
      <c r="H56" s="7">
        <v>3.0</v>
      </c>
      <c r="I56" s="7">
        <v>3.0</v>
      </c>
      <c r="J56" s="7">
        <v>4.0</v>
      </c>
      <c r="K56" s="7">
        <v>4.0</v>
      </c>
      <c r="L56" s="7">
        <v>5.0</v>
      </c>
      <c r="M56" s="8">
        <f t="shared" si="7"/>
        <v>27.5</v>
      </c>
      <c r="N56" s="8">
        <f>M56+M57</f>
        <v>46.5</v>
      </c>
      <c r="P56" s="7">
        <v>34.5</v>
      </c>
      <c r="Q56" s="7">
        <v>0.0</v>
      </c>
      <c r="R56" s="8">
        <f t="shared" si="2"/>
        <v>-7</v>
      </c>
      <c r="S56" s="7">
        <v>2.0</v>
      </c>
      <c r="T56" s="7">
        <v>5.0</v>
      </c>
      <c r="U56" s="8">
        <f t="shared" si="3"/>
        <v>0</v>
      </c>
      <c r="V56" s="7">
        <v>37.75</v>
      </c>
      <c r="W56" s="7">
        <v>0.25</v>
      </c>
      <c r="X56" s="8">
        <f t="shared" si="6"/>
        <v>-3.5</v>
      </c>
    </row>
    <row r="57" ht="15.75" customHeight="1">
      <c r="A57" s="9"/>
      <c r="B57" s="6" t="s">
        <v>9</v>
      </c>
      <c r="F57" s="7">
        <v>3.5</v>
      </c>
      <c r="G57" s="7">
        <v>2.5</v>
      </c>
      <c r="H57" s="7">
        <v>1.5</v>
      </c>
      <c r="I57" s="7">
        <v>2.0</v>
      </c>
      <c r="J57" s="7">
        <v>3.0</v>
      </c>
      <c r="K57" s="7">
        <v>3.0</v>
      </c>
      <c r="L57" s="7">
        <v>3.5</v>
      </c>
      <c r="M57" s="8">
        <f t="shared" si="7"/>
        <v>19</v>
      </c>
      <c r="P57" s="7">
        <v>3.5</v>
      </c>
      <c r="Q57" s="7">
        <v>15.5</v>
      </c>
      <c r="R57" s="8">
        <f t="shared" si="2"/>
        <v>0</v>
      </c>
      <c r="U57" s="8">
        <f t="shared" si="3"/>
        <v>0</v>
      </c>
      <c r="V57" s="7">
        <v>3.5</v>
      </c>
      <c r="X57" s="8">
        <f t="shared" si="6"/>
        <v>0</v>
      </c>
    </row>
    <row r="58" ht="15.75" customHeight="1">
      <c r="A58" s="13">
        <f>A56+1</f>
        <v>46110</v>
      </c>
      <c r="B58" s="6" t="s">
        <v>8</v>
      </c>
      <c r="F58" s="7">
        <v>4.0</v>
      </c>
      <c r="G58" s="7">
        <v>4.25</v>
      </c>
      <c r="H58" s="7">
        <v>3.0</v>
      </c>
      <c r="I58" s="7">
        <v>3.0</v>
      </c>
      <c r="J58" s="7">
        <v>4.0</v>
      </c>
      <c r="K58" s="7">
        <v>4.0</v>
      </c>
      <c r="L58" s="7">
        <v>4.5</v>
      </c>
      <c r="M58" s="8">
        <f t="shared" si="7"/>
        <v>26.75</v>
      </c>
      <c r="N58" s="8">
        <f>M58+M59</f>
        <v>44.75</v>
      </c>
      <c r="P58" s="7">
        <v>33.75</v>
      </c>
      <c r="Q58" s="7">
        <v>0.0</v>
      </c>
      <c r="R58" s="8">
        <f t="shared" si="2"/>
        <v>-7</v>
      </c>
      <c r="S58" s="7">
        <v>2.0</v>
      </c>
      <c r="T58" s="7">
        <v>5.0</v>
      </c>
      <c r="U58" s="8">
        <f t="shared" si="3"/>
        <v>0</v>
      </c>
      <c r="V58" s="7">
        <v>34.25</v>
      </c>
      <c r="W58" s="7">
        <v>2.0</v>
      </c>
      <c r="X58" s="8">
        <f t="shared" si="6"/>
        <v>-2.5</v>
      </c>
    </row>
    <row r="59" ht="15.75" customHeight="1">
      <c r="A59" s="9"/>
      <c r="B59" s="6" t="s">
        <v>9</v>
      </c>
      <c r="F59" s="7">
        <v>3.5</v>
      </c>
      <c r="G59" s="7">
        <v>2.5</v>
      </c>
      <c r="H59" s="7">
        <v>2.5</v>
      </c>
      <c r="I59" s="7"/>
      <c r="J59" s="7">
        <v>3.0</v>
      </c>
      <c r="K59" s="7">
        <v>2.5</v>
      </c>
      <c r="L59" s="7">
        <v>4.0</v>
      </c>
      <c r="M59" s="8">
        <f t="shared" si="7"/>
        <v>18</v>
      </c>
      <c r="P59" s="7">
        <v>3.5</v>
      </c>
      <c r="Q59" s="7">
        <v>14.5</v>
      </c>
      <c r="R59" s="8">
        <f t="shared" si="2"/>
        <v>0</v>
      </c>
      <c r="U59" s="8">
        <f t="shared" si="3"/>
        <v>0</v>
      </c>
      <c r="V59" s="7">
        <v>3.5</v>
      </c>
      <c r="X59" s="8">
        <f t="shared" si="6"/>
        <v>0</v>
      </c>
    </row>
    <row r="60" ht="15.75" customHeight="1">
      <c r="A60" s="13">
        <f>A58+1</f>
        <v>46111</v>
      </c>
      <c r="B60" s="6" t="s">
        <v>8</v>
      </c>
      <c r="F60" s="7">
        <v>4.0</v>
      </c>
      <c r="G60" s="7">
        <v>4.25</v>
      </c>
      <c r="H60" s="7">
        <v>3.0</v>
      </c>
      <c r="I60" s="7">
        <v>3.0</v>
      </c>
      <c r="J60" s="7">
        <v>4.0</v>
      </c>
      <c r="K60" s="7">
        <v>4.0</v>
      </c>
      <c r="L60" s="7">
        <v>4.5</v>
      </c>
      <c r="M60" s="8">
        <f t="shared" si="7"/>
        <v>26.75</v>
      </c>
      <c r="N60" s="8">
        <f>M60+M61</f>
        <v>45.25</v>
      </c>
      <c r="P60" s="7">
        <v>34.05</v>
      </c>
      <c r="Q60" s="7">
        <v>0.0</v>
      </c>
      <c r="R60" s="8">
        <f t="shared" si="2"/>
        <v>-7.3</v>
      </c>
      <c r="S60" s="7">
        <v>2.0</v>
      </c>
      <c r="T60" s="7">
        <v>5.3</v>
      </c>
      <c r="U60" s="8">
        <f t="shared" si="3"/>
        <v>0</v>
      </c>
      <c r="V60" s="7">
        <v>36.72</v>
      </c>
      <c r="W60" s="7">
        <v>0.25</v>
      </c>
      <c r="X60" s="8">
        <f t="shared" si="6"/>
        <v>-2.92</v>
      </c>
    </row>
    <row r="61" ht="15.75" customHeight="1">
      <c r="A61" s="9"/>
      <c r="B61" s="6" t="s">
        <v>9</v>
      </c>
      <c r="F61" s="7">
        <v>3.5</v>
      </c>
      <c r="G61" s="7">
        <v>2.0</v>
      </c>
      <c r="H61" s="7">
        <v>2.5</v>
      </c>
      <c r="I61" s="7">
        <v>1.0</v>
      </c>
      <c r="J61" s="7">
        <v>3.0</v>
      </c>
      <c r="K61" s="7">
        <v>2.5</v>
      </c>
      <c r="L61" s="7">
        <v>4.0</v>
      </c>
      <c r="M61" s="8">
        <f t="shared" si="7"/>
        <v>18.5</v>
      </c>
      <c r="P61" s="7">
        <v>4.0</v>
      </c>
      <c r="Q61" s="7">
        <v>14.5</v>
      </c>
      <c r="R61" s="8">
        <f t="shared" si="2"/>
        <v>0</v>
      </c>
      <c r="U61" s="8">
        <f t="shared" si="3"/>
        <v>0</v>
      </c>
      <c r="V61" s="7">
        <v>4.0</v>
      </c>
      <c r="X61" s="8">
        <f t="shared" si="6"/>
        <v>0</v>
      </c>
    </row>
    <row r="62" ht="15.75" customHeight="1">
      <c r="A62" s="13">
        <f>A60+1</f>
        <v>46112</v>
      </c>
      <c r="B62" s="6" t="s">
        <v>8</v>
      </c>
      <c r="F62" s="7">
        <v>4.0</v>
      </c>
      <c r="G62" s="7">
        <v>4.0</v>
      </c>
      <c r="H62" s="7">
        <v>2.5</v>
      </c>
      <c r="I62" s="7">
        <v>2.5</v>
      </c>
      <c r="J62" s="7">
        <v>4.0</v>
      </c>
      <c r="K62" s="7">
        <v>4.0</v>
      </c>
      <c r="L62" s="7">
        <v>4.5</v>
      </c>
      <c r="M62" s="8">
        <f t="shared" si="7"/>
        <v>25.5</v>
      </c>
      <c r="N62" s="8">
        <f>M62+M63</f>
        <v>44.5</v>
      </c>
      <c r="P62" s="7">
        <v>32.0</v>
      </c>
      <c r="Q62" s="7">
        <v>0.0</v>
      </c>
      <c r="R62" s="8">
        <f t="shared" si="2"/>
        <v>-6.5</v>
      </c>
      <c r="S62" s="7">
        <v>1.5</v>
      </c>
      <c r="T62" s="7">
        <v>5.0</v>
      </c>
      <c r="U62" s="8">
        <f t="shared" si="3"/>
        <v>0</v>
      </c>
      <c r="V62" s="7">
        <v>36.75</v>
      </c>
      <c r="W62" s="7">
        <v>0.25</v>
      </c>
      <c r="X62" s="8">
        <f t="shared" si="6"/>
        <v>-5</v>
      </c>
    </row>
    <row r="63" ht="15.75" customHeight="1">
      <c r="A63" s="9"/>
      <c r="B63" s="6" t="s">
        <v>9</v>
      </c>
      <c r="F63" s="7">
        <v>3.5</v>
      </c>
      <c r="G63" s="7">
        <v>2.0</v>
      </c>
      <c r="H63" s="7">
        <v>2.5</v>
      </c>
      <c r="I63" s="7">
        <v>1.5</v>
      </c>
      <c r="J63" s="7">
        <v>3.0</v>
      </c>
      <c r="K63" s="7">
        <v>2.5</v>
      </c>
      <c r="L63" s="7">
        <v>4.0</v>
      </c>
      <c r="M63" s="7">
        <v>19.0</v>
      </c>
      <c r="P63" s="7">
        <v>5.0</v>
      </c>
      <c r="Q63" s="7">
        <v>14.0</v>
      </c>
      <c r="R63" s="8">
        <f t="shared" si="2"/>
        <v>0</v>
      </c>
      <c r="U63" s="8">
        <f t="shared" si="3"/>
        <v>0</v>
      </c>
      <c r="V63" s="7">
        <v>5.0</v>
      </c>
      <c r="W63" s="7">
        <v>0.0</v>
      </c>
      <c r="X63" s="8">
        <f t="shared" si="6"/>
        <v>0</v>
      </c>
    </row>
    <row r="64" ht="15.75" customHeight="1">
      <c r="A64" s="14"/>
      <c r="R64" s="8">
        <f t="shared" si="2"/>
        <v>0</v>
      </c>
      <c r="U64" s="8">
        <f t="shared" si="3"/>
        <v>0</v>
      </c>
    </row>
    <row r="65" ht="15.75" customHeight="1">
      <c r="A65" s="14"/>
      <c r="R65" s="8">
        <f t="shared" si="2"/>
        <v>0</v>
      </c>
      <c r="U65" s="8">
        <f t="shared" si="3"/>
        <v>0</v>
      </c>
    </row>
    <row r="66" ht="15.75" customHeight="1">
      <c r="A66" s="14"/>
      <c r="R66" s="8">
        <f t="shared" si="2"/>
        <v>0</v>
      </c>
      <c r="U66" s="8">
        <f t="shared" si="3"/>
        <v>0</v>
      </c>
    </row>
    <row r="67" ht="15.75" customHeight="1">
      <c r="A67" s="14"/>
    </row>
    <row r="68" ht="15.75" customHeight="1"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 ht="15.75" customHeight="1">
      <c r="A69" s="14"/>
    </row>
    <row r="70" ht="15.75" customHeight="1">
      <c r="A70" s="10"/>
    </row>
    <row r="71" ht="15.75" customHeight="1"/>
    <row r="72" ht="15.75" customHeight="1">
      <c r="A72" s="10" t="str">
        <f>BIN2OCT(A80, DGET(DGET(A81)))</f>
        <v>#N/A</v>
      </c>
    </row>
    <row r="73" ht="15.75" customHeight="1"/>
    <row r="74" ht="15.75" customHeight="1">
      <c r="A74" s="10"/>
    </row>
    <row r="75" ht="15.75" customHeight="1"/>
    <row r="76" ht="15.75" customHeight="1">
      <c r="A76" s="10"/>
    </row>
    <row r="77" ht="15.75" customHeight="1"/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>
        <f>ACOS(A89)</f>
        <v>1.570796327</v>
      </c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 t="str">
        <f>BAHTTEXT(==A104, BAHTTEXT(BAHTTEXT(A104, BAHTTEXT(BAHTTEXT(A104, BAHTTEXT(BAHTTEXT(A104)))))))BAHTTEXT(BAHTTEXT(=BAHTTEXT(A104)))</f>
        <v>#ERROR!</v>
      </c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 t="str">
        <f>BAHTTEXT(BAHTTEXT(A118))BAHTTEXT(BAHTTEXT(A118))</f>
        <v>#ERROR!</v>
      </c>
    </row>
    <row r="103" ht="15.75" customHeight="1">
      <c r="A103" s="10"/>
      <c r="K103" s="7" t="s">
        <v>33</v>
      </c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 t="str">
        <f>BAHTTEXT(A127)</f>
        <v>ศูนย์บาทถ้วน</v>
      </c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 t="str">
        <f>A136BAHTTEXT(BAHTTEXT(A142))BAHTTEXT()</f>
        <v>#ERROR!</v>
      </c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 t="str">
        <f>BAHTTEXT(BAHTTEXT(A158, CUMPRINC(A157, BAHTTEXT())))BAHTTEXT(A158)</f>
        <v>#ERROR!</v>
      </c>
    </row>
    <row r="150" ht="15.75" customHeight="1">
      <c r="A150" s="10" t="str">
        <f>BAHTTEXT(A150)</f>
        <v>#REF!</v>
      </c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 t="str">
        <f>BAHTTEXT(A158)BAHTTEXT(BAHTTEXT(==A173))BAHTTEXT(BAHTTEXT(=A148, BAHTTEXT(BAHTTEXT(A168, BAHTTEXT(A167)))))BAHTTEXT(BAHTTEXT(BAHTTEXT(BAHTTEXT(A168))))</f>
        <v>#ERROR!</v>
      </c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 t="str">
        <f>BAHTTEXT(BAHTTEXT(BAHTTEXT(A176=A189)))BAHTTEXT(BAHTTEXT(A187, BAHTTEXT(A184:A190=)))</f>
        <v>#ERROR!</v>
      </c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 t="str">
        <f>BAHTTEXT(BAHTTEXT(A211))</f>
        <v>#ERROR!</v>
      </c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 t="str">
        <f>BAHTTEXT(BAHTTEXT(BAHTTEXT(A221, BAHTTEXT(A218, BAHTTEXT(A220, COUPDAYBS(COUPDAYBS(A220, BAHTTEXT(BAHTTEXT(A225, BAHTTEXT(BAHTTEXT(A226)))))))))))BAHTTEXT(BAHTTEXT(A226, BAHTTEXT(BAHTTEXT(BAHTTEXT(A226)))))</f>
        <v>#ERROR!</v>
      </c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 t="str">
        <f>BAHTTEXT(BAHTTEXT(A233))BAHTTEXT(A244, BAHTTEXT(A244, BAHTTEXT(A243)))BAHTTEXT(BAHTTEXT(A245, BAHTTEXT(GOOGLEFINANCE(A243, A253, BAHTTEXT(BAHTTEXT(A253, GOOGLEFINANCE(A253)))))))</f>
        <v>#ERROR!</v>
      </c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 t="str">
        <f>BAHTTEXT(A253, BAHTTEXT(A264))BAHTTEXT(COUPDAYBS(A265))</f>
        <v>#ERROR!</v>
      </c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 t="str">
        <f>BAHTTEXT(COUPDAYS(A273))</f>
        <v>#N/A</v>
      </c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 t="str">
        <f>BAHTTEXT(BAHTTEXT(BAHTTEXT(BAHTTEXT(A288, BAHTTEXT(A288, BAHTTEXT(A288))))))BAHTTEXT(BAHTTEXT(A287))</f>
        <v>#ERROR!</v>
      </c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 t="str">
        <f>BAHTTEXT(BAHTTEXT(A284:A295, BAHTTEXT(BAHTTEXT(A295, BAHTTEXT(BAHTTEXT(BAHTTEXT(BAHTTEXT(A293, COUPDAYS(A295, BAHTTEXT(BAHTTEXT(A295, BAHTTEXT(A293, BAHTTEXT(BAHTTEXT(A295, BAHTTEXT(BAHTTEXT(A361, BAHTTEXT(BAHTTEXT(A351, BAHTTEXT(BAHTTEXT(A351))))))))))))))))))))</f>
        <v>#REF!</v>
      </c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 t="str">
        <f>BAHTTEXT(BAHTTEXT(=A363, BAHTTEXT(BAHTTEXT(BAHTTEXT(A355:A362, BAHTTEXT(BAHTTEXT(A365, BAHTTEXT(A365, BAHTTEXT(BAHTTEXT(BAHTTEXT(A365, BAHTTEXT(BAHTTEXT(A365, BAHTTEXT(BAHTTEXT(A364)))))))))))))))</f>
        <v>#ERROR!</v>
      </c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 t="str">
        <f>BAHTTEXT()</f>
        <v>#N/A</v>
      </c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 t="str">
        <f>BAHTTEXT(A380, BAHTTEXT(A387, BAHTTEXT(BAHTTEXT())))</f>
        <v>#N/A</v>
      </c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 t="str">
        <f>BAHTTEXT(BAHTTEXT(BAHTTEXT(A406, BAHTTEXT(BAHTTEXT(A405)))))BAHTTEXT(BAHTTEXT(A406))</f>
        <v>#ERROR!</v>
      </c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 t="str">
        <f>BAHTTEXT(BAHTTEXT(COUPNCD(COUPNCD(A424, BAHTTEXT(BAHTTEXT(BAHTTEXT(A424)))))))</f>
        <v>#N/A</v>
      </c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 t="str">
        <f>BAHTTEXT(BAHTTEXT(A426, BAHTTEXT(A433)))BAHTTEXT(BAHTTEXT(=A454, BAHTTEXT(BAHTTEXT(A454))))DAY(A456, DAY())</f>
        <v>#ERROR!</v>
      </c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 t="str">
        <f>DAY(DAY(A513, DMAX(A525, CHOOSECOLS(CHOOSECOLS(A527, DGET(DGET(DMIN(DMIN(A525, DMIN(A524:A525, A526, DGET(A529, DGET(DGET(DMAX(DGET(A505, DGET(A506))))))))))))))))DGET(DGET(A507, DAY(DAY(A507))))</f>
        <v>#ERROR!</v>
      </c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 t="str">
        <f>DAY(=DAY(A524, DAY(A525, DAY(A523, DAY(DAY(DAY(A524, DAY(DAY(A532, DAY(DAY(A532, DAYS(DAYS(A531, DAY(A532, DAY(A556, DAY(DAYS(DAY(A544, DAY(A543, DAY(DAY(DAY(A551))))))))))))))))))))))DAY(A550, DAY())</f>
        <v>#ERROR!</v>
      </c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  <c r="B519" s="10"/>
    </row>
    <row r="520" ht="15.75" customHeight="1">
      <c r="A520" s="10"/>
      <c r="B520" s="10"/>
    </row>
    <row r="521" ht="15.75" customHeight="1">
      <c r="A521" s="10"/>
      <c r="B521" s="10"/>
    </row>
    <row r="522" ht="15.75" customHeight="1">
      <c r="A522" s="10"/>
      <c r="B522" s="10"/>
    </row>
    <row r="523" ht="15.75" customHeight="1">
      <c r="A523" s="10"/>
      <c r="B523" s="10"/>
    </row>
    <row r="524" ht="15.75" customHeight="1">
      <c r="A524" s="10"/>
      <c r="B524" s="10"/>
    </row>
    <row r="525" ht="15.75" customHeight="1">
      <c r="A525" s="10"/>
      <c r="B525" s="10"/>
    </row>
    <row r="526" ht="15.75" customHeight="1">
      <c r="A526" s="10"/>
      <c r="B526" s="10"/>
    </row>
    <row r="527" ht="15.75" customHeight="1">
      <c r="A527" s="10"/>
      <c r="B527" s="10"/>
    </row>
    <row r="528" ht="15.75" customHeight="1">
      <c r="A528" s="10"/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 t="str">
        <f>DAY(DAY(DAYS(DAY(A709, DAY(A710, DAY(DAY(DAY(A709))))))))</f>
        <v>#N/A</v>
      </c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 t="str">
        <f t="array" ref="A709">DAY(A709=DAY(DAYS(A724, DAY(DAY(A723, UNIQUE(A723, UNIQUE(UNIQUE(A716:A723, UNIQUE(UNIQUE(A723, A723, UNIQUE(UNIQUE(UNIQUE(UNIQUE(UNIQUE(UNIQUE(A734:A765, CHOOSECOLS(CHOOSECOLS(CHOOSECOLS(A766, CHOOSECOLS())))))))))))))))))))</f>
        <v>#REF!</v>
      </c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 t="str">
        <f t="array" ref="A767">CHOOSECOLS(A769)</f>
        <v>#N/A</v>
      </c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 t="str">
        <f>BAHTTEXT(A786, GOOGLEFINANCE(BAHTTEXT(BAHTTEXT(BAHTTEXT(A786)))))COUPDAYS(=BAHTTEXT(COUPDAYBS(BAHTTEXT(BAHTTEXT(GOOGLEFINANCE(BAHTTEXT(A838:A843, BAHTTEXT(A848, GOOGLEFINANCE(GOOGLEFINANCE(A843, BAHTTEXT(A842)))))))))))GOOGLEFINANCE(BAHTTEXT(BAHTTEXT(BAHTTEXT(A843))))BAHTTEXT(A842, UNIQUE(=UNIQUE(UNIQUE(UNIQUE(UNIQUE(A843))))))</f>
        <v>#ERROR!</v>
      </c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 t="str">
        <f>UNIQUE(A845, A851, UNIQUE(UNIQUE(A852)))=BAHTTEXT(A852, BAHTTEXT(BAHTTEXT(A868, BAHTTEXT(BAHTTEXT(BAHTTEXT(A869, BAHTTEXT(COUPDAYBS(A871, A870, BAHTTEXT(BAHTTEXT(BAHTTEXT(A869, BAHTTEXT(A871, BAHTTEXT(BAHTTEXT(A870, BAHTTEXT(A869, BAHTTEXT(A869))))))))))))))))BAHTTEXT(A871, BAHTTEXT(A870, BAHTTEXT(A870, BAHTTEXT(BAHTTEXT(A869, BAHTTEXT(BAHTTEXT(A908)))))))</f>
        <v>#ERROR!</v>
      </c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58:A59"/>
    <mergeCell ref="A60:A61"/>
    <mergeCell ref="A62:A63"/>
    <mergeCell ref="A70:A71"/>
    <mergeCell ref="A72:A73"/>
    <mergeCell ref="A74:A75"/>
    <mergeCell ref="A76:A77"/>
    <mergeCell ref="A44:A45"/>
    <mergeCell ref="A46:A47"/>
    <mergeCell ref="A48:A49"/>
    <mergeCell ref="A50:A51"/>
    <mergeCell ref="A52:A53"/>
    <mergeCell ref="A54:A55"/>
    <mergeCell ref="A56:A57"/>
  </mergeCells>
  <printOptions/>
  <pageMargins bottom="0.75" footer="0.0" header="0.0" left="0.7" right="0.7" top="0.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6" width="14.86"/>
    <col customWidth="1" min="17" max="17" width="17.71"/>
    <col customWidth="1" min="18" max="18" width="8.71"/>
    <col customWidth="1" min="19" max="19" width="20.29"/>
    <col customWidth="1" min="20" max="20" width="16.71"/>
    <col customWidth="1" min="21" max="21" width="15.57"/>
    <col customWidth="1" min="22" max="31" width="8.71"/>
  </cols>
  <sheetData>
    <row r="1">
      <c r="A1" s="3" t="s">
        <v>10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/>
      <c r="P1" s="2" t="s">
        <v>6</v>
      </c>
      <c r="Q1" s="3" t="s">
        <v>21</v>
      </c>
      <c r="R1" s="4"/>
      <c r="S1" s="11" t="s">
        <v>22</v>
      </c>
      <c r="T1" s="11" t="s">
        <v>23</v>
      </c>
      <c r="U1" s="11" t="s">
        <v>24</v>
      </c>
      <c r="V1" s="12" t="s">
        <v>25</v>
      </c>
      <c r="W1" s="12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2" t="s">
        <v>31</v>
      </c>
      <c r="AC1" s="11" t="s">
        <v>28</v>
      </c>
      <c r="AD1" s="4"/>
      <c r="AE1" s="4"/>
    </row>
    <row r="2">
      <c r="A2" s="13">
        <v>46113.0</v>
      </c>
      <c r="B2" s="6" t="s">
        <v>8</v>
      </c>
      <c r="F2" s="7">
        <v>4.0</v>
      </c>
      <c r="G2" s="7">
        <v>4.0</v>
      </c>
      <c r="H2" s="7">
        <v>3.0</v>
      </c>
      <c r="I2" s="7">
        <v>3.0</v>
      </c>
      <c r="J2" s="7">
        <v>4.0</v>
      </c>
      <c r="K2" s="7">
        <v>4.5</v>
      </c>
      <c r="L2" s="7">
        <v>5.0</v>
      </c>
      <c r="M2" s="7"/>
      <c r="N2" s="7"/>
      <c r="O2" s="7"/>
      <c r="P2" s="8">
        <f t="shared" ref="P2:P64" si="1">SUM(C2:N2)</f>
        <v>27.5</v>
      </c>
      <c r="Q2" s="8">
        <f>P2+P3</f>
        <v>45</v>
      </c>
      <c r="S2" s="7">
        <v>34.0</v>
      </c>
      <c r="T2" s="7">
        <v>0.0</v>
      </c>
      <c r="U2" s="8">
        <f t="shared" ref="U2:U7" si="2">P2-S2-T2</f>
        <v>-6.5</v>
      </c>
      <c r="V2" s="7"/>
      <c r="W2" s="7">
        <v>1.5</v>
      </c>
      <c r="X2" s="7">
        <v>5.0</v>
      </c>
      <c r="Y2" s="8">
        <f>U2+W2+X2</f>
        <v>0</v>
      </c>
      <c r="Z2" s="7">
        <v>36.0</v>
      </c>
      <c r="AA2" s="7">
        <v>0.0</v>
      </c>
    </row>
    <row r="3">
      <c r="A3" s="9"/>
      <c r="B3" s="6" t="s">
        <v>9</v>
      </c>
      <c r="F3" s="7">
        <v>3.0</v>
      </c>
      <c r="G3" s="7">
        <v>2.5</v>
      </c>
      <c r="H3" s="7">
        <v>1.0</v>
      </c>
      <c r="I3" s="7">
        <v>1.5</v>
      </c>
      <c r="J3" s="7">
        <v>3.0</v>
      </c>
      <c r="K3" s="7">
        <v>2.5</v>
      </c>
      <c r="L3" s="7">
        <v>4.0</v>
      </c>
      <c r="P3" s="8">
        <f t="shared" si="1"/>
        <v>17.5</v>
      </c>
      <c r="S3" s="7">
        <v>2.5</v>
      </c>
      <c r="T3" s="7">
        <v>15.0</v>
      </c>
      <c r="U3" s="8">
        <f t="shared" si="2"/>
        <v>0</v>
      </c>
      <c r="V3" s="7"/>
      <c r="W3" s="7">
        <v>0.0</v>
      </c>
    </row>
    <row r="4">
      <c r="A4" s="13">
        <v>46114.0</v>
      </c>
      <c r="B4" s="6" t="s">
        <v>8</v>
      </c>
      <c r="F4" s="7">
        <v>4.0</v>
      </c>
      <c r="G4" s="7">
        <v>4.0</v>
      </c>
      <c r="H4" s="7">
        <v>2.5</v>
      </c>
      <c r="I4" s="7">
        <v>2.5</v>
      </c>
      <c r="J4" s="7">
        <v>4.0</v>
      </c>
      <c r="K4" s="7">
        <v>4.0</v>
      </c>
      <c r="L4" s="7">
        <v>5.0</v>
      </c>
      <c r="P4" s="8">
        <f t="shared" si="1"/>
        <v>26</v>
      </c>
      <c r="Q4" s="8">
        <f>P4+P5</f>
        <v>44.5</v>
      </c>
      <c r="S4" s="7">
        <v>32.5</v>
      </c>
      <c r="T4" s="7">
        <v>0.0</v>
      </c>
      <c r="U4" s="8">
        <f t="shared" si="2"/>
        <v>-6.5</v>
      </c>
      <c r="V4" s="7"/>
      <c r="W4" s="7">
        <v>1.5</v>
      </c>
      <c r="X4" s="7">
        <v>5.0</v>
      </c>
      <c r="Y4" s="7">
        <v>0.0</v>
      </c>
      <c r="Z4" s="7">
        <v>33.0</v>
      </c>
      <c r="AA4" s="7">
        <v>0.0</v>
      </c>
    </row>
    <row r="5">
      <c r="A5" s="9"/>
      <c r="B5" s="6" t="s">
        <v>9</v>
      </c>
      <c r="F5" s="7">
        <v>3.5</v>
      </c>
      <c r="G5" s="7">
        <v>2.0</v>
      </c>
      <c r="H5" s="7">
        <v>1.5</v>
      </c>
      <c r="I5" s="7">
        <v>2.0</v>
      </c>
      <c r="J5" s="7">
        <v>3.0</v>
      </c>
      <c r="K5" s="7">
        <v>2.5</v>
      </c>
      <c r="L5" s="7">
        <v>4.0</v>
      </c>
      <c r="P5" s="8">
        <f t="shared" si="1"/>
        <v>18.5</v>
      </c>
      <c r="S5" s="7">
        <v>1.0</v>
      </c>
      <c r="T5" s="7">
        <v>17.5</v>
      </c>
      <c r="U5" s="8">
        <f t="shared" si="2"/>
        <v>0</v>
      </c>
      <c r="V5" s="7"/>
      <c r="W5" s="7">
        <v>0.0</v>
      </c>
      <c r="AC5" s="7">
        <v>32.6</v>
      </c>
      <c r="AD5" s="7">
        <v>7.5</v>
      </c>
    </row>
    <row r="6">
      <c r="A6" s="13">
        <v>46115.0</v>
      </c>
      <c r="B6" s="6" t="s">
        <v>8</v>
      </c>
      <c r="F6" s="7">
        <v>4.0</v>
      </c>
      <c r="G6" s="7">
        <v>4.0</v>
      </c>
      <c r="H6" s="7">
        <v>2.5</v>
      </c>
      <c r="I6" s="7">
        <v>2.5</v>
      </c>
      <c r="J6" s="7">
        <v>4.0</v>
      </c>
      <c r="K6" s="7">
        <v>4.0</v>
      </c>
      <c r="L6" s="7">
        <v>5.0</v>
      </c>
      <c r="P6" s="8">
        <f t="shared" si="1"/>
        <v>26</v>
      </c>
      <c r="Q6" s="8">
        <f>P6+P7</f>
        <v>45.5</v>
      </c>
      <c r="S6" s="7">
        <v>35.7</v>
      </c>
      <c r="T6" s="7">
        <v>0.0</v>
      </c>
      <c r="U6" s="8">
        <f t="shared" si="2"/>
        <v>-9.7</v>
      </c>
      <c r="V6" s="7"/>
      <c r="W6" s="7">
        <v>4.5</v>
      </c>
      <c r="X6" s="7">
        <v>5.2</v>
      </c>
      <c r="Y6" s="7">
        <v>0.0</v>
      </c>
      <c r="Z6" s="7">
        <v>37.0</v>
      </c>
      <c r="AA6" s="7">
        <v>1.6</v>
      </c>
    </row>
    <row r="7">
      <c r="A7" s="9"/>
      <c r="B7" s="6" t="s">
        <v>9</v>
      </c>
      <c r="F7" s="7">
        <v>3.5</v>
      </c>
      <c r="G7" s="7">
        <v>2.0</v>
      </c>
      <c r="H7" s="7">
        <v>2.5</v>
      </c>
      <c r="I7" s="7">
        <v>2.0</v>
      </c>
      <c r="J7" s="7">
        <v>3.0</v>
      </c>
      <c r="K7" s="7">
        <v>2.5</v>
      </c>
      <c r="L7" s="7">
        <v>4.0</v>
      </c>
      <c r="P7" s="8">
        <f t="shared" si="1"/>
        <v>19.5</v>
      </c>
      <c r="S7" s="7">
        <v>2.5</v>
      </c>
      <c r="T7" s="7">
        <v>17.0</v>
      </c>
      <c r="U7" s="8">
        <f t="shared" si="2"/>
        <v>0</v>
      </c>
    </row>
    <row r="8">
      <c r="A8" s="13">
        <v>46116.0</v>
      </c>
      <c r="B8" s="6" t="s">
        <v>8</v>
      </c>
      <c r="F8" s="7">
        <v>4.0</v>
      </c>
      <c r="G8" s="7">
        <v>4.0</v>
      </c>
      <c r="H8" s="7">
        <v>2.0</v>
      </c>
      <c r="I8" s="7">
        <v>2.0</v>
      </c>
      <c r="J8" s="7">
        <v>4.0</v>
      </c>
      <c r="K8" s="7">
        <v>4.0</v>
      </c>
      <c r="L8" s="7">
        <v>4.5</v>
      </c>
      <c r="P8" s="8">
        <f t="shared" si="1"/>
        <v>24.5</v>
      </c>
      <c r="Q8" s="8">
        <f>P8+P9</f>
        <v>44</v>
      </c>
      <c r="S8" s="7">
        <v>32.97</v>
      </c>
      <c r="T8" s="7">
        <v>11.0</v>
      </c>
      <c r="Z8" s="7">
        <v>32.97</v>
      </c>
      <c r="AA8" s="7">
        <v>0.0</v>
      </c>
    </row>
    <row r="9">
      <c r="A9" s="9"/>
      <c r="B9" s="6" t="s">
        <v>9</v>
      </c>
      <c r="F9" s="7">
        <v>3.5</v>
      </c>
      <c r="G9" s="7">
        <v>2.5</v>
      </c>
      <c r="H9" s="7">
        <v>2.0</v>
      </c>
      <c r="I9" s="7">
        <v>2.0</v>
      </c>
      <c r="J9" s="7">
        <v>3.0</v>
      </c>
      <c r="K9" s="7">
        <v>2.5</v>
      </c>
      <c r="L9" s="7">
        <v>4.0</v>
      </c>
      <c r="P9" s="8">
        <f t="shared" si="1"/>
        <v>19.5</v>
      </c>
    </row>
    <row r="10">
      <c r="A10" s="13">
        <v>46117.0</v>
      </c>
      <c r="B10" s="6" t="s">
        <v>8</v>
      </c>
      <c r="F10" s="7">
        <v>4.0</v>
      </c>
      <c r="G10" s="7">
        <v>4.0</v>
      </c>
      <c r="H10" s="7">
        <v>2.5</v>
      </c>
      <c r="I10" s="7">
        <v>2.5</v>
      </c>
      <c r="J10" s="7">
        <v>4.0</v>
      </c>
      <c r="K10" s="7">
        <v>4.0</v>
      </c>
      <c r="L10" s="7">
        <v>4.5</v>
      </c>
      <c r="P10" s="8">
        <f t="shared" si="1"/>
        <v>25.5</v>
      </c>
      <c r="Q10" s="8">
        <f>P10+P11</f>
        <v>44.5</v>
      </c>
      <c r="S10" s="7">
        <v>35.47</v>
      </c>
      <c r="T10" s="7">
        <v>8.5</v>
      </c>
      <c r="V10" s="7"/>
      <c r="W10" s="7">
        <v>0.0</v>
      </c>
      <c r="X10" s="7">
        <v>0.0</v>
      </c>
      <c r="Z10" s="7">
        <v>35.47</v>
      </c>
      <c r="AA10" s="7">
        <v>0.0</v>
      </c>
    </row>
    <row r="11">
      <c r="A11" s="9"/>
      <c r="B11" s="6" t="s">
        <v>9</v>
      </c>
      <c r="F11" s="7">
        <v>3.5</v>
      </c>
      <c r="G11" s="7">
        <v>2.5</v>
      </c>
      <c r="H11" s="7">
        <v>2.0</v>
      </c>
      <c r="I11" s="7">
        <v>2.0</v>
      </c>
      <c r="J11" s="7">
        <v>2.5</v>
      </c>
      <c r="K11" s="7">
        <v>2.5</v>
      </c>
      <c r="L11" s="7">
        <v>4.0</v>
      </c>
      <c r="P11" s="8">
        <f t="shared" si="1"/>
        <v>19</v>
      </c>
    </row>
    <row r="12">
      <c r="A12" s="13">
        <v>46118.0</v>
      </c>
      <c r="B12" s="6" t="s">
        <v>8</v>
      </c>
      <c r="F12" s="7">
        <v>4.0</v>
      </c>
      <c r="G12" s="7">
        <v>4.0</v>
      </c>
      <c r="H12" s="7">
        <v>1.0</v>
      </c>
      <c r="I12" s="7">
        <v>2.0</v>
      </c>
      <c r="J12" s="7">
        <v>4.0</v>
      </c>
      <c r="K12" s="7">
        <v>4.0</v>
      </c>
      <c r="L12" s="7">
        <v>4.5</v>
      </c>
      <c r="P12" s="8">
        <f t="shared" si="1"/>
        <v>23.5</v>
      </c>
      <c r="Q12" s="8">
        <f>P12+P13</f>
        <v>44</v>
      </c>
      <c r="S12" s="7">
        <v>34.97</v>
      </c>
      <c r="V12" s="7"/>
      <c r="W12" s="7">
        <v>0.0</v>
      </c>
      <c r="X12" s="7">
        <v>0.0</v>
      </c>
      <c r="Z12" s="7">
        <v>34.97</v>
      </c>
      <c r="AA12" s="7">
        <v>0.25</v>
      </c>
    </row>
    <row r="13">
      <c r="A13" s="9"/>
      <c r="B13" s="6" t="s">
        <v>9</v>
      </c>
      <c r="F13" s="7">
        <v>4.0</v>
      </c>
      <c r="G13" s="7">
        <v>3.0</v>
      </c>
      <c r="H13" s="7">
        <v>2.0</v>
      </c>
      <c r="I13" s="7">
        <v>2.0</v>
      </c>
      <c r="J13" s="7">
        <v>3.0</v>
      </c>
      <c r="K13" s="7">
        <v>2.5</v>
      </c>
      <c r="L13" s="7">
        <v>4.0</v>
      </c>
      <c r="P13" s="8">
        <f t="shared" si="1"/>
        <v>20.5</v>
      </c>
    </row>
    <row r="14">
      <c r="A14" s="13">
        <v>46119.0</v>
      </c>
      <c r="B14" s="6" t="s">
        <v>8</v>
      </c>
      <c r="F14" s="7">
        <v>4.0</v>
      </c>
      <c r="G14" s="7">
        <v>4.0</v>
      </c>
      <c r="H14" s="7">
        <v>1.0</v>
      </c>
      <c r="I14" s="7">
        <v>2.0</v>
      </c>
      <c r="J14" s="7">
        <v>4.0</v>
      </c>
      <c r="K14" s="7">
        <v>4.0</v>
      </c>
      <c r="L14" s="7">
        <v>4.5</v>
      </c>
      <c r="P14" s="8">
        <f t="shared" si="1"/>
        <v>23.5</v>
      </c>
      <c r="Q14" s="8">
        <f>P14+P15</f>
        <v>42.5</v>
      </c>
      <c r="S14" s="7">
        <f>Q14-T14</f>
        <v>37.5</v>
      </c>
      <c r="T14" s="7">
        <v>5.0</v>
      </c>
      <c r="Z14" s="7">
        <v>35.97</v>
      </c>
    </row>
    <row r="15">
      <c r="A15" s="9"/>
      <c r="B15" s="6" t="s">
        <v>9</v>
      </c>
      <c r="F15" s="7">
        <v>3.5</v>
      </c>
      <c r="G15" s="7">
        <v>2.5</v>
      </c>
      <c r="H15" s="7">
        <v>2.0</v>
      </c>
      <c r="I15" s="7">
        <v>2.0</v>
      </c>
      <c r="J15" s="7">
        <v>3.0</v>
      </c>
      <c r="K15" s="7">
        <v>2.0</v>
      </c>
      <c r="L15" s="7">
        <v>4.0</v>
      </c>
      <c r="P15" s="8">
        <f t="shared" si="1"/>
        <v>19</v>
      </c>
    </row>
    <row r="16">
      <c r="A16" s="13">
        <v>46120.0</v>
      </c>
      <c r="B16" s="6" t="s">
        <v>8</v>
      </c>
      <c r="F16" s="7">
        <v>4.0</v>
      </c>
      <c r="G16" s="7">
        <v>4.0</v>
      </c>
      <c r="H16" s="7">
        <v>2.0</v>
      </c>
      <c r="I16" s="7">
        <v>2.5</v>
      </c>
      <c r="J16" s="7">
        <v>4.0</v>
      </c>
      <c r="K16" s="7">
        <v>4.0</v>
      </c>
      <c r="L16" s="7">
        <v>4.0</v>
      </c>
      <c r="P16" s="8">
        <f t="shared" si="1"/>
        <v>24.5</v>
      </c>
      <c r="Q16" s="8">
        <f>P16+P17</f>
        <v>44.5</v>
      </c>
      <c r="Z16" s="7">
        <v>35.47</v>
      </c>
    </row>
    <row r="17">
      <c r="A17" s="9"/>
      <c r="B17" s="6" t="s">
        <v>9</v>
      </c>
      <c r="F17" s="7">
        <v>4.0</v>
      </c>
      <c r="G17" s="7">
        <v>3.0</v>
      </c>
      <c r="H17" s="7">
        <v>2.0</v>
      </c>
      <c r="I17" s="7">
        <v>2.0</v>
      </c>
      <c r="J17" s="7">
        <v>3.0</v>
      </c>
      <c r="K17" s="7">
        <v>2.0</v>
      </c>
      <c r="L17" s="7">
        <v>4.0</v>
      </c>
      <c r="P17" s="8">
        <f t="shared" si="1"/>
        <v>20</v>
      </c>
    </row>
    <row r="18">
      <c r="A18" s="13">
        <v>46121.0</v>
      </c>
      <c r="B18" s="6" t="s">
        <v>8</v>
      </c>
      <c r="F18" s="7">
        <v>4.5</v>
      </c>
      <c r="G18" s="7">
        <v>4.0</v>
      </c>
      <c r="H18" s="7">
        <v>2.0</v>
      </c>
      <c r="I18" s="7">
        <v>2.0</v>
      </c>
      <c r="J18" s="7">
        <v>3.5</v>
      </c>
      <c r="K18" s="7">
        <v>4.0</v>
      </c>
      <c r="L18" s="7">
        <v>4.5</v>
      </c>
      <c r="P18" s="8">
        <f t="shared" si="1"/>
        <v>24.5</v>
      </c>
      <c r="Q18" s="8">
        <f>P18+P19</f>
        <v>43.9</v>
      </c>
      <c r="Z18" s="7">
        <v>36.47</v>
      </c>
    </row>
    <row r="19">
      <c r="A19" s="9"/>
      <c r="B19" s="6" t="s">
        <v>9</v>
      </c>
      <c r="F19" s="7">
        <v>3.5</v>
      </c>
      <c r="G19" s="7">
        <v>2.5</v>
      </c>
      <c r="H19" s="7">
        <v>2.0</v>
      </c>
      <c r="I19" s="7">
        <v>1.5</v>
      </c>
      <c r="J19" s="7">
        <v>3.0</v>
      </c>
      <c r="K19" s="7">
        <v>2.9</v>
      </c>
      <c r="L19" s="7">
        <v>4.0</v>
      </c>
      <c r="M19" s="7"/>
      <c r="N19" s="7"/>
      <c r="O19" s="7"/>
      <c r="P19" s="8">
        <f t="shared" si="1"/>
        <v>19.4</v>
      </c>
    </row>
    <row r="20">
      <c r="A20" s="13">
        <v>46122.0</v>
      </c>
      <c r="B20" s="6" t="s">
        <v>8</v>
      </c>
      <c r="F20" s="7">
        <v>4.0</v>
      </c>
      <c r="G20" s="7">
        <v>4.0</v>
      </c>
      <c r="H20" s="7">
        <v>1.0</v>
      </c>
      <c r="I20" s="7">
        <v>2.0</v>
      </c>
      <c r="J20" s="7">
        <v>4.0</v>
      </c>
      <c r="K20" s="7">
        <v>4.0</v>
      </c>
      <c r="L20" s="7">
        <v>4.4</v>
      </c>
      <c r="M20" s="7"/>
      <c r="N20" s="7"/>
      <c r="O20" s="7"/>
      <c r="P20" s="8">
        <f t="shared" si="1"/>
        <v>23.4</v>
      </c>
      <c r="Q20" s="8">
        <f>P20+P21</f>
        <v>45.3</v>
      </c>
      <c r="Z20" s="7">
        <v>38.47</v>
      </c>
      <c r="AA20" s="7">
        <v>2.0</v>
      </c>
    </row>
    <row r="21" ht="15.75" customHeight="1">
      <c r="A21" s="9"/>
      <c r="B21" s="6" t="s">
        <v>9</v>
      </c>
      <c r="F21" s="7">
        <v>4.0</v>
      </c>
      <c r="G21" s="7">
        <v>3.0</v>
      </c>
      <c r="H21" s="7">
        <v>2.5</v>
      </c>
      <c r="I21" s="7">
        <v>2.5</v>
      </c>
      <c r="J21" s="7">
        <v>3.0</v>
      </c>
      <c r="K21" s="7">
        <v>2.9</v>
      </c>
      <c r="L21" s="7">
        <v>4.0</v>
      </c>
      <c r="P21" s="8">
        <f t="shared" si="1"/>
        <v>21.9</v>
      </c>
    </row>
    <row r="22" ht="15.75" customHeight="1">
      <c r="A22" s="13">
        <v>46123.0</v>
      </c>
      <c r="B22" s="6" t="s">
        <v>8</v>
      </c>
      <c r="F22" s="7">
        <v>4.0</v>
      </c>
      <c r="G22" s="7">
        <v>4.0</v>
      </c>
      <c r="H22" s="7">
        <v>2.5</v>
      </c>
      <c r="I22" s="7">
        <v>2.2</v>
      </c>
      <c r="J22" s="7">
        <v>4.0</v>
      </c>
      <c r="K22" s="7">
        <v>4.0</v>
      </c>
      <c r="L22" s="7">
        <v>4.5</v>
      </c>
      <c r="M22" s="7">
        <v>2.5</v>
      </c>
      <c r="N22" s="7">
        <v>2.0</v>
      </c>
      <c r="O22" s="7"/>
      <c r="P22" s="8">
        <f t="shared" si="1"/>
        <v>29.7</v>
      </c>
      <c r="Q22" s="8">
        <f>P22+P23</f>
        <v>54.2</v>
      </c>
      <c r="Z22" s="7">
        <v>40.22</v>
      </c>
      <c r="AA22" s="7">
        <v>1.0</v>
      </c>
    </row>
    <row r="23" ht="15.75" customHeight="1">
      <c r="A23" s="9"/>
      <c r="B23" s="6" t="s">
        <v>9</v>
      </c>
      <c r="F23" s="7">
        <v>3.5</v>
      </c>
      <c r="G23" s="7">
        <v>2.5</v>
      </c>
      <c r="H23" s="7">
        <v>1.0</v>
      </c>
      <c r="I23" s="7">
        <v>2.0</v>
      </c>
      <c r="J23" s="7">
        <v>3.0</v>
      </c>
      <c r="K23" s="7">
        <v>3.0</v>
      </c>
      <c r="L23" s="7">
        <v>4.0</v>
      </c>
      <c r="M23" s="7">
        <v>2.5</v>
      </c>
      <c r="N23" s="7">
        <v>3.0</v>
      </c>
      <c r="O23" s="7"/>
      <c r="P23" s="8">
        <f t="shared" si="1"/>
        <v>24.5</v>
      </c>
    </row>
    <row r="24" ht="15.75" customHeight="1">
      <c r="A24" s="13">
        <v>46124.0</v>
      </c>
      <c r="B24" s="6" t="s">
        <v>8</v>
      </c>
      <c r="F24" s="7">
        <v>4.0</v>
      </c>
      <c r="G24" s="7">
        <v>4.0</v>
      </c>
      <c r="H24" s="7">
        <v>1.0</v>
      </c>
      <c r="I24" s="7">
        <v>2.5</v>
      </c>
      <c r="J24" s="7">
        <v>4.0</v>
      </c>
      <c r="K24" s="7">
        <v>4.0</v>
      </c>
      <c r="L24" s="7">
        <v>5.0</v>
      </c>
      <c r="M24" s="7">
        <v>2.5</v>
      </c>
      <c r="N24" s="7">
        <v>2.5</v>
      </c>
      <c r="O24" s="7"/>
      <c r="P24" s="8">
        <f t="shared" si="1"/>
        <v>29.5</v>
      </c>
      <c r="Q24" s="8">
        <f>P24+P25</f>
        <v>51.5</v>
      </c>
      <c r="Z24" s="7">
        <v>36.72</v>
      </c>
      <c r="AA24" s="7">
        <v>1.0</v>
      </c>
    </row>
    <row r="25" ht="15.75" customHeight="1">
      <c r="A25" s="9"/>
      <c r="B25" s="6" t="s">
        <v>9</v>
      </c>
      <c r="D25" s="14"/>
      <c r="F25" s="7">
        <v>3.5</v>
      </c>
      <c r="G25" s="7">
        <v>2.0</v>
      </c>
      <c r="H25" s="7">
        <v>1.0</v>
      </c>
      <c r="I25" s="7">
        <v>2.5</v>
      </c>
      <c r="J25" s="7">
        <v>3.0</v>
      </c>
      <c r="K25" s="7">
        <v>2.3</v>
      </c>
      <c r="L25" s="7">
        <v>4.0</v>
      </c>
      <c r="M25" s="7">
        <v>2.0</v>
      </c>
      <c r="N25" s="7">
        <v>1.7</v>
      </c>
      <c r="O25" s="7"/>
      <c r="P25" s="8">
        <f t="shared" si="1"/>
        <v>22</v>
      </c>
    </row>
    <row r="26" ht="15.75" customHeight="1">
      <c r="A26" s="13">
        <v>46125.0</v>
      </c>
      <c r="B26" s="6" t="s">
        <v>8</v>
      </c>
      <c r="F26" s="7">
        <v>4.0</v>
      </c>
      <c r="G26" s="7">
        <v>3.5</v>
      </c>
      <c r="I26" s="7">
        <v>2.5</v>
      </c>
      <c r="J26" s="7">
        <v>4.0</v>
      </c>
      <c r="K26" s="7">
        <v>4.0</v>
      </c>
      <c r="L26" s="7">
        <v>4.5</v>
      </c>
      <c r="M26" s="7">
        <v>3.0</v>
      </c>
      <c r="N26" s="7">
        <v>2.5</v>
      </c>
      <c r="P26" s="8">
        <f t="shared" si="1"/>
        <v>28</v>
      </c>
      <c r="Q26" s="8">
        <f>P26+P27</f>
        <v>28</v>
      </c>
      <c r="Z26" s="7">
        <v>37.72</v>
      </c>
      <c r="AA26" s="7">
        <v>0.5</v>
      </c>
    </row>
    <row r="27" ht="15.75" customHeight="1">
      <c r="A27" s="9"/>
      <c r="B27" s="6" t="s">
        <v>9</v>
      </c>
      <c r="P27" s="8">
        <f t="shared" si="1"/>
        <v>0</v>
      </c>
    </row>
    <row r="28" ht="15.75" customHeight="1">
      <c r="A28" s="13">
        <v>46126.0</v>
      </c>
      <c r="B28" s="6" t="s">
        <v>8</v>
      </c>
      <c r="F28" s="7">
        <v>4.0</v>
      </c>
      <c r="G28" s="7">
        <v>3.0</v>
      </c>
      <c r="H28" s="7">
        <v>1.0</v>
      </c>
      <c r="I28" s="7">
        <v>2.0</v>
      </c>
      <c r="J28" s="7">
        <v>2.5</v>
      </c>
      <c r="K28" s="7">
        <v>1.0</v>
      </c>
      <c r="L28" s="7">
        <v>4.0</v>
      </c>
      <c r="M28" s="7">
        <v>2.0</v>
      </c>
      <c r="N28" s="7">
        <v>2.0</v>
      </c>
      <c r="P28" s="8">
        <f t="shared" si="1"/>
        <v>21.5</v>
      </c>
      <c r="Q28" s="8">
        <f>P28+P29</f>
        <v>45</v>
      </c>
      <c r="Z28" s="7">
        <v>35.44</v>
      </c>
      <c r="AA28" s="7">
        <v>1.5</v>
      </c>
    </row>
    <row r="29" ht="15.75" customHeight="1">
      <c r="A29" s="9"/>
      <c r="B29" s="6" t="s">
        <v>9</v>
      </c>
      <c r="F29" s="7">
        <v>4.0</v>
      </c>
      <c r="G29" s="7">
        <v>3.3</v>
      </c>
      <c r="H29" s="7">
        <v>1.0</v>
      </c>
      <c r="I29" s="7">
        <v>3.0</v>
      </c>
      <c r="J29" s="7">
        <v>3.0</v>
      </c>
      <c r="K29" s="7">
        <v>3.0</v>
      </c>
      <c r="L29" s="7">
        <v>3.0</v>
      </c>
      <c r="M29" s="7">
        <v>2.0</v>
      </c>
      <c r="N29" s="7">
        <v>1.2</v>
      </c>
      <c r="P29" s="8">
        <f t="shared" si="1"/>
        <v>23.5</v>
      </c>
    </row>
    <row r="30" ht="15.75" customHeight="1">
      <c r="A30" s="13">
        <v>46127.0</v>
      </c>
      <c r="B30" s="6" t="s">
        <v>8</v>
      </c>
      <c r="F30" s="7">
        <v>3.0</v>
      </c>
      <c r="G30" s="7">
        <v>3.5</v>
      </c>
      <c r="H30" s="7">
        <v>0.0</v>
      </c>
      <c r="I30" s="7">
        <v>2.0</v>
      </c>
      <c r="J30" s="7">
        <v>3.5</v>
      </c>
      <c r="K30" s="7">
        <v>2.5</v>
      </c>
      <c r="L30" s="7">
        <v>3.5</v>
      </c>
      <c r="M30" s="7">
        <v>2.0</v>
      </c>
      <c r="N30" s="7">
        <v>2.0</v>
      </c>
      <c r="P30" s="8">
        <f t="shared" si="1"/>
        <v>22</v>
      </c>
      <c r="Q30" s="8">
        <f>P30+P31</f>
        <v>51</v>
      </c>
      <c r="Z30" s="7">
        <v>39.47</v>
      </c>
      <c r="AA30" s="7">
        <v>1.0</v>
      </c>
    </row>
    <row r="31" ht="15.75" customHeight="1">
      <c r="A31" s="9"/>
      <c r="B31" s="6" t="s">
        <v>9</v>
      </c>
      <c r="F31" s="7">
        <v>4.0</v>
      </c>
      <c r="G31" s="7">
        <v>4.0</v>
      </c>
      <c r="H31" s="7">
        <v>4.0</v>
      </c>
      <c r="I31" s="7">
        <v>3.0</v>
      </c>
      <c r="J31" s="7">
        <v>3.0</v>
      </c>
      <c r="K31" s="7">
        <v>2.6</v>
      </c>
      <c r="L31" s="7">
        <v>4.0</v>
      </c>
      <c r="M31" s="7">
        <v>2.2</v>
      </c>
      <c r="N31" s="7">
        <v>2.2</v>
      </c>
      <c r="P31" s="8">
        <f t="shared" si="1"/>
        <v>29</v>
      </c>
    </row>
    <row r="32" ht="15.75" customHeight="1">
      <c r="A32" s="13">
        <v>46128.0</v>
      </c>
      <c r="B32" s="6" t="s">
        <v>8</v>
      </c>
      <c r="F32" s="7">
        <v>3.5</v>
      </c>
      <c r="G32" s="7">
        <v>3.5</v>
      </c>
      <c r="H32" s="7">
        <v>0.0</v>
      </c>
      <c r="I32" s="7">
        <v>2.5</v>
      </c>
      <c r="J32" s="7">
        <v>3.5</v>
      </c>
      <c r="K32" s="7">
        <v>2.5</v>
      </c>
      <c r="L32" s="7">
        <v>4.4</v>
      </c>
      <c r="M32" s="7">
        <v>2.0</v>
      </c>
      <c r="N32" s="7">
        <v>2.0</v>
      </c>
      <c r="P32" s="8">
        <f t="shared" si="1"/>
        <v>23.9</v>
      </c>
      <c r="Q32" s="8">
        <f>P32+P33</f>
        <v>48.8</v>
      </c>
      <c r="S32" s="7"/>
      <c r="Z32" s="7">
        <v>37.97</v>
      </c>
      <c r="AA32" s="7">
        <v>1.0</v>
      </c>
    </row>
    <row r="33" ht="15.75" customHeight="1">
      <c r="A33" s="9"/>
      <c r="B33" s="6" t="s">
        <v>9</v>
      </c>
      <c r="F33" s="7">
        <v>3.5</v>
      </c>
      <c r="G33" s="7">
        <v>3.0</v>
      </c>
      <c r="H33" s="7">
        <v>3.1</v>
      </c>
      <c r="I33" s="7">
        <v>3.0</v>
      </c>
      <c r="J33" s="7">
        <v>3.1</v>
      </c>
      <c r="K33" s="7">
        <v>2.9</v>
      </c>
      <c r="L33" s="7">
        <v>2.6</v>
      </c>
      <c r="M33" s="7">
        <v>2.0</v>
      </c>
      <c r="N33" s="7">
        <v>1.7</v>
      </c>
      <c r="P33" s="8">
        <f t="shared" si="1"/>
        <v>24.9</v>
      </c>
    </row>
    <row r="34" ht="15.75" customHeight="1">
      <c r="A34" s="13">
        <v>46129.0</v>
      </c>
      <c r="B34" s="6" t="s">
        <v>8</v>
      </c>
      <c r="F34" s="7">
        <v>4.5</v>
      </c>
      <c r="G34" s="7">
        <v>3.5</v>
      </c>
      <c r="H34" s="7">
        <v>0.0</v>
      </c>
      <c r="I34" s="7">
        <v>3.5</v>
      </c>
      <c r="J34" s="7">
        <v>2.6</v>
      </c>
      <c r="K34" s="7">
        <v>3.1</v>
      </c>
      <c r="L34" s="7">
        <v>4.2</v>
      </c>
      <c r="M34" s="7">
        <v>2.8</v>
      </c>
      <c r="N34" s="7">
        <v>3.0</v>
      </c>
      <c r="P34" s="8">
        <f t="shared" si="1"/>
        <v>27.2</v>
      </c>
      <c r="Q34" s="8">
        <f>P34+P35</f>
        <v>52.12</v>
      </c>
      <c r="Z34" s="7">
        <v>38.97</v>
      </c>
    </row>
    <row r="35" ht="15.75" customHeight="1">
      <c r="A35" s="9"/>
      <c r="B35" s="6" t="s">
        <v>9</v>
      </c>
      <c r="F35" s="7">
        <v>3.0</v>
      </c>
      <c r="G35" s="7">
        <v>2.5</v>
      </c>
      <c r="H35" s="7">
        <v>4.1</v>
      </c>
      <c r="I35" s="7">
        <v>2.4</v>
      </c>
      <c r="J35" s="7">
        <v>2.2</v>
      </c>
      <c r="K35" s="7">
        <v>3.0</v>
      </c>
      <c r="L35" s="7">
        <v>2.2</v>
      </c>
      <c r="M35" s="7">
        <v>2.76</v>
      </c>
      <c r="N35" s="7">
        <v>2.76</v>
      </c>
      <c r="P35" s="8">
        <f t="shared" si="1"/>
        <v>24.92</v>
      </c>
    </row>
    <row r="36" ht="15.75" customHeight="1">
      <c r="A36" s="13">
        <v>46130.0</v>
      </c>
      <c r="B36" s="6" t="s">
        <v>8</v>
      </c>
      <c r="F36" s="7">
        <v>3.2</v>
      </c>
      <c r="G36" s="7">
        <v>3.47</v>
      </c>
      <c r="H36" s="7">
        <v>0.0</v>
      </c>
      <c r="I36" s="7">
        <v>2.5</v>
      </c>
      <c r="J36" s="7">
        <v>3.3</v>
      </c>
      <c r="K36" s="7">
        <v>3.42</v>
      </c>
      <c r="L36" s="7">
        <v>4.2</v>
      </c>
      <c r="M36" s="7">
        <v>3.2</v>
      </c>
      <c r="N36" s="7">
        <v>3.1</v>
      </c>
      <c r="P36" s="8">
        <f t="shared" si="1"/>
        <v>26.39</v>
      </c>
      <c r="Q36" s="8">
        <f>P36+P37</f>
        <v>50.48</v>
      </c>
      <c r="Z36" s="7">
        <v>38.97</v>
      </c>
    </row>
    <row r="37" ht="12.0" customHeight="1">
      <c r="A37" s="9"/>
      <c r="B37" s="6" t="s">
        <v>9</v>
      </c>
      <c r="F37" s="7">
        <v>2.25</v>
      </c>
      <c r="G37" s="7">
        <v>2.62</v>
      </c>
      <c r="H37" s="7">
        <v>2.63</v>
      </c>
      <c r="I37" s="7">
        <v>2.82</v>
      </c>
      <c r="J37" s="7">
        <v>2.9</v>
      </c>
      <c r="K37" s="7">
        <v>1.38</v>
      </c>
      <c r="L37" s="7">
        <v>4.7</v>
      </c>
      <c r="M37" s="7">
        <v>2.45</v>
      </c>
      <c r="N37" s="7">
        <v>2.34</v>
      </c>
      <c r="P37" s="8">
        <f t="shared" si="1"/>
        <v>24.09</v>
      </c>
    </row>
    <row r="38" ht="15.75" customHeight="1">
      <c r="A38" s="13">
        <v>46131.0</v>
      </c>
      <c r="B38" s="6" t="s">
        <v>8</v>
      </c>
      <c r="F38" s="7">
        <v>3.4</v>
      </c>
      <c r="G38" s="7">
        <v>3.47</v>
      </c>
      <c r="H38" s="7">
        <v>0.0</v>
      </c>
      <c r="I38" s="7">
        <v>2.35</v>
      </c>
      <c r="J38" s="7">
        <v>3.23</v>
      </c>
      <c r="K38" s="7">
        <v>3.42</v>
      </c>
      <c r="L38" s="7">
        <v>4.6</v>
      </c>
      <c r="M38" s="7">
        <v>2.2</v>
      </c>
      <c r="N38" s="7">
        <v>3.16</v>
      </c>
      <c r="P38" s="8">
        <f t="shared" si="1"/>
        <v>25.83</v>
      </c>
      <c r="Q38" s="8">
        <f>P38+P39</f>
        <v>53.97</v>
      </c>
      <c r="Z38" s="7">
        <v>41.47</v>
      </c>
    </row>
    <row r="39" ht="15.75" customHeight="1">
      <c r="A39" s="9"/>
      <c r="B39" s="6" t="s">
        <v>9</v>
      </c>
      <c r="F39" s="7">
        <v>3.83</v>
      </c>
      <c r="G39" s="7">
        <v>3.01</v>
      </c>
      <c r="H39" s="7">
        <v>1.28</v>
      </c>
      <c r="I39" s="7">
        <v>3.93</v>
      </c>
      <c r="J39" s="7">
        <v>3.1</v>
      </c>
      <c r="K39" s="7">
        <v>2.16</v>
      </c>
      <c r="L39" s="7">
        <v>4.62</v>
      </c>
      <c r="M39" s="7">
        <v>2.43</v>
      </c>
      <c r="N39" s="7">
        <v>3.78</v>
      </c>
      <c r="P39" s="8">
        <f t="shared" si="1"/>
        <v>28.14</v>
      </c>
    </row>
    <row r="40" ht="15.75" customHeight="1">
      <c r="A40" s="13">
        <v>46132.0</v>
      </c>
      <c r="B40" s="6" t="s">
        <v>8</v>
      </c>
      <c r="F40" s="7">
        <v>3.34</v>
      </c>
      <c r="G40" s="7">
        <v>3.97</v>
      </c>
      <c r="H40" s="7">
        <v>0.0</v>
      </c>
      <c r="I40" s="7">
        <v>2.5</v>
      </c>
      <c r="J40" s="7">
        <v>3.7</v>
      </c>
      <c r="K40" s="7">
        <v>3.28</v>
      </c>
      <c r="L40" s="7">
        <v>4.8</v>
      </c>
      <c r="M40" s="7">
        <v>2.96</v>
      </c>
      <c r="N40" s="7">
        <v>3.34</v>
      </c>
      <c r="P40" s="8">
        <f t="shared" si="1"/>
        <v>27.89</v>
      </c>
      <c r="Q40" s="8">
        <f>P40+P41</f>
        <v>50.49</v>
      </c>
      <c r="Z40" s="7">
        <v>38.47</v>
      </c>
    </row>
    <row r="41" ht="15.75" customHeight="1">
      <c r="A41" s="9"/>
      <c r="B41" s="6" t="s">
        <v>9</v>
      </c>
      <c r="F41" s="7">
        <v>3.36</v>
      </c>
      <c r="G41" s="7">
        <v>2.51</v>
      </c>
      <c r="H41" s="7">
        <v>0.0</v>
      </c>
      <c r="I41" s="7">
        <v>2.16</v>
      </c>
      <c r="J41" s="7">
        <v>2.77</v>
      </c>
      <c r="K41" s="7">
        <v>3.05</v>
      </c>
      <c r="L41" s="7">
        <v>4.52</v>
      </c>
      <c r="M41" s="7">
        <v>2.48</v>
      </c>
      <c r="N41" s="7">
        <v>1.75</v>
      </c>
      <c r="P41" s="8">
        <f t="shared" si="1"/>
        <v>22.6</v>
      </c>
    </row>
    <row r="42" ht="15.75" customHeight="1">
      <c r="A42" s="13">
        <v>46133.0</v>
      </c>
      <c r="B42" s="6" t="s">
        <v>8</v>
      </c>
      <c r="F42" s="7">
        <v>4.03</v>
      </c>
      <c r="G42" s="7">
        <v>3.1</v>
      </c>
      <c r="H42" s="7">
        <v>0.0</v>
      </c>
      <c r="I42" s="7">
        <v>2.79</v>
      </c>
      <c r="J42" s="7">
        <v>3.2</v>
      </c>
      <c r="K42" s="7">
        <v>3.28</v>
      </c>
      <c r="L42" s="7">
        <v>4.54</v>
      </c>
      <c r="M42" s="7">
        <v>3.07</v>
      </c>
      <c r="N42" s="7">
        <v>3.31</v>
      </c>
      <c r="P42" s="8">
        <f t="shared" si="1"/>
        <v>27.32</v>
      </c>
      <c r="Q42" s="8">
        <f>P42+P43</f>
        <v>53.9</v>
      </c>
      <c r="Z42" s="7">
        <v>38.47</v>
      </c>
    </row>
    <row r="43" ht="15.75" customHeight="1">
      <c r="A43" s="9"/>
      <c r="B43" s="6" t="s">
        <v>9</v>
      </c>
      <c r="F43" s="7">
        <v>3.92</v>
      </c>
      <c r="G43" s="7">
        <v>2.82</v>
      </c>
      <c r="H43" s="7">
        <v>1.4</v>
      </c>
      <c r="I43" s="7">
        <v>2.79</v>
      </c>
      <c r="J43" s="7">
        <v>3.07</v>
      </c>
      <c r="K43" s="7">
        <v>3.17</v>
      </c>
      <c r="L43" s="7">
        <v>4.76</v>
      </c>
      <c r="M43" s="7">
        <v>1.95</v>
      </c>
      <c r="N43" s="7">
        <v>2.7</v>
      </c>
      <c r="P43" s="8">
        <f t="shared" si="1"/>
        <v>26.58</v>
      </c>
    </row>
    <row r="44" ht="15.75" customHeight="1">
      <c r="A44" s="13">
        <v>46134.0</v>
      </c>
      <c r="B44" s="6" t="s">
        <v>8</v>
      </c>
      <c r="F44" s="7">
        <v>3.3</v>
      </c>
      <c r="G44" s="7">
        <v>3.25</v>
      </c>
      <c r="H44" s="7">
        <v>0.0</v>
      </c>
      <c r="I44" s="7">
        <v>2.05</v>
      </c>
      <c r="J44" s="7">
        <v>3.17</v>
      </c>
      <c r="K44" s="7">
        <v>5.55</v>
      </c>
      <c r="L44" s="7">
        <v>4.58</v>
      </c>
      <c r="M44" s="7">
        <v>3.06</v>
      </c>
      <c r="N44" s="7">
        <v>2.65</v>
      </c>
      <c r="P44" s="8">
        <f t="shared" si="1"/>
        <v>27.61</v>
      </c>
      <c r="Q44" s="8">
        <f>P44+P45</f>
        <v>50.27</v>
      </c>
      <c r="Z44" s="7">
        <v>38.97</v>
      </c>
    </row>
    <row r="45" ht="15.75" customHeight="1">
      <c r="A45" s="9"/>
      <c r="B45" s="6" t="s">
        <v>9</v>
      </c>
      <c r="F45" s="7">
        <v>3.2</v>
      </c>
      <c r="G45" s="7">
        <v>2.82</v>
      </c>
      <c r="H45" s="7">
        <v>0.0</v>
      </c>
      <c r="I45" s="7">
        <v>3.12</v>
      </c>
      <c r="J45" s="7">
        <v>2.98</v>
      </c>
      <c r="K45" s="7">
        <v>1.83</v>
      </c>
      <c r="L45" s="7">
        <v>4.21</v>
      </c>
      <c r="M45" s="7">
        <v>2.44</v>
      </c>
      <c r="N45" s="7">
        <v>2.06</v>
      </c>
      <c r="P45" s="8">
        <f t="shared" si="1"/>
        <v>22.66</v>
      </c>
    </row>
    <row r="46" ht="15.75" customHeight="1">
      <c r="A46" s="13">
        <v>46135.0</v>
      </c>
      <c r="B46" s="6" t="s">
        <v>8</v>
      </c>
      <c r="F46" s="7">
        <v>3.5</v>
      </c>
      <c r="G46" s="7">
        <v>3.36</v>
      </c>
      <c r="H46" s="7">
        <v>0.0</v>
      </c>
      <c r="I46" s="7">
        <v>1.96</v>
      </c>
      <c r="J46" s="7">
        <v>3.48</v>
      </c>
      <c r="K46" s="7">
        <v>3.6</v>
      </c>
      <c r="L46" s="7">
        <v>4.37</v>
      </c>
      <c r="M46" s="7">
        <v>2.21</v>
      </c>
      <c r="N46" s="7">
        <v>3.11</v>
      </c>
      <c r="P46" s="8">
        <f t="shared" si="1"/>
        <v>25.59</v>
      </c>
      <c r="Q46" s="8">
        <f>P46+P47</f>
        <v>52.74</v>
      </c>
      <c r="Z46" s="7">
        <v>38.97</v>
      </c>
    </row>
    <row r="47" ht="15.75" customHeight="1">
      <c r="A47" s="9"/>
      <c r="B47" s="6" t="s">
        <v>9</v>
      </c>
      <c r="F47" s="7">
        <v>3.73</v>
      </c>
      <c r="G47" s="7">
        <v>2.55</v>
      </c>
      <c r="H47" s="7">
        <v>1.89</v>
      </c>
      <c r="I47" s="7">
        <v>3.13</v>
      </c>
      <c r="J47" s="7">
        <v>3.37</v>
      </c>
      <c r="K47" s="7">
        <v>3.15</v>
      </c>
      <c r="L47" s="7">
        <v>4.54</v>
      </c>
      <c r="M47" s="7">
        <v>1.71</v>
      </c>
      <c r="N47" s="7">
        <v>3.08</v>
      </c>
      <c r="P47" s="8">
        <f t="shared" si="1"/>
        <v>27.15</v>
      </c>
    </row>
    <row r="48" ht="15.75" customHeight="1">
      <c r="A48" s="13">
        <v>46136.0</v>
      </c>
      <c r="B48" s="6" t="s">
        <v>8</v>
      </c>
      <c r="F48" s="7">
        <v>3.66</v>
      </c>
      <c r="G48" s="7">
        <v>0.0</v>
      </c>
      <c r="H48" s="7">
        <v>0.0</v>
      </c>
      <c r="I48" s="7">
        <v>1.99</v>
      </c>
      <c r="J48" s="7">
        <v>3.09</v>
      </c>
      <c r="K48" s="7">
        <v>3.04</v>
      </c>
      <c r="L48" s="7">
        <v>4.55</v>
      </c>
      <c r="M48" s="7">
        <v>3.2</v>
      </c>
      <c r="N48" s="7">
        <v>2.9</v>
      </c>
      <c r="P48" s="8">
        <f t="shared" si="1"/>
        <v>22.43</v>
      </c>
      <c r="Q48" s="8">
        <f>P48+P49</f>
        <v>49.72</v>
      </c>
      <c r="Z48" s="7">
        <v>38.97</v>
      </c>
    </row>
    <row r="49" ht="15.75" customHeight="1">
      <c r="A49" s="9"/>
      <c r="B49" s="6" t="s">
        <v>9</v>
      </c>
      <c r="F49" s="7">
        <v>3.0</v>
      </c>
      <c r="G49" s="7">
        <v>3.42</v>
      </c>
      <c r="H49" s="7">
        <v>2.66</v>
      </c>
      <c r="I49" s="7">
        <v>2.55</v>
      </c>
      <c r="J49" s="7">
        <v>2.94</v>
      </c>
      <c r="K49" s="7">
        <v>3.03</v>
      </c>
      <c r="L49" s="7">
        <v>4.83</v>
      </c>
      <c r="M49" s="7">
        <v>2.04</v>
      </c>
      <c r="N49" s="7">
        <v>2.82</v>
      </c>
      <c r="P49" s="8">
        <f t="shared" si="1"/>
        <v>27.29</v>
      </c>
    </row>
    <row r="50" ht="15.75" customHeight="1">
      <c r="A50" s="13">
        <v>46137.0</v>
      </c>
      <c r="B50" s="15" t="s">
        <v>8</v>
      </c>
      <c r="F50" s="7">
        <v>2.93</v>
      </c>
      <c r="G50" s="7">
        <v>3.14</v>
      </c>
      <c r="H50" s="7">
        <v>0.0</v>
      </c>
      <c r="I50" s="7">
        <v>1.74</v>
      </c>
      <c r="J50" s="7">
        <v>3.25</v>
      </c>
      <c r="K50" s="7">
        <v>2.91</v>
      </c>
      <c r="L50" s="7">
        <v>4.35</v>
      </c>
      <c r="M50" s="7">
        <v>3.08</v>
      </c>
      <c r="N50" s="7">
        <v>2.45</v>
      </c>
      <c r="P50" s="8">
        <f t="shared" si="1"/>
        <v>23.85</v>
      </c>
      <c r="Q50" s="8">
        <f>P50+P51</f>
        <v>48.88</v>
      </c>
      <c r="Z50" s="7">
        <v>37.97</v>
      </c>
    </row>
    <row r="51" ht="15.75" customHeight="1">
      <c r="A51" s="9"/>
      <c r="B51" s="6" t="s">
        <v>9</v>
      </c>
      <c r="F51" s="7">
        <v>3.17</v>
      </c>
      <c r="G51" s="7">
        <v>2.32</v>
      </c>
      <c r="H51" s="7">
        <v>1.73</v>
      </c>
      <c r="I51" s="7">
        <v>3.11</v>
      </c>
      <c r="J51" s="7">
        <v>3.0</v>
      </c>
      <c r="K51" s="7">
        <v>2.59</v>
      </c>
      <c r="L51" s="7">
        <v>4.42</v>
      </c>
      <c r="M51" s="7">
        <v>1.98</v>
      </c>
      <c r="N51" s="7">
        <v>2.71</v>
      </c>
      <c r="P51" s="8">
        <f t="shared" si="1"/>
        <v>25.03</v>
      </c>
    </row>
    <row r="52" ht="15.75" customHeight="1">
      <c r="A52" s="13">
        <v>46138.0</v>
      </c>
      <c r="B52" s="6" t="s">
        <v>8</v>
      </c>
      <c r="F52" s="7">
        <v>3.39</v>
      </c>
      <c r="G52" s="7">
        <v>2.79</v>
      </c>
      <c r="H52" s="7">
        <v>0.0</v>
      </c>
      <c r="I52" s="7">
        <v>2.32</v>
      </c>
      <c r="J52" s="7">
        <v>3.75</v>
      </c>
      <c r="K52" s="7">
        <v>3.6</v>
      </c>
      <c r="L52" s="7">
        <v>5.5</v>
      </c>
      <c r="M52" s="7">
        <v>2.0</v>
      </c>
      <c r="N52" s="7">
        <v>3.5</v>
      </c>
      <c r="P52" s="8">
        <f t="shared" si="1"/>
        <v>26.85</v>
      </c>
      <c r="Q52" s="8">
        <f>P52+P53</f>
        <v>53.13</v>
      </c>
    </row>
    <row r="53" ht="15.75" customHeight="1">
      <c r="A53" s="9"/>
      <c r="B53" s="6" t="s">
        <v>9</v>
      </c>
      <c r="F53" s="7">
        <v>3.65</v>
      </c>
      <c r="G53" s="7">
        <v>2.2</v>
      </c>
      <c r="H53" s="7">
        <v>1.4</v>
      </c>
      <c r="I53" s="7">
        <v>2.47</v>
      </c>
      <c r="J53" s="7">
        <v>3.2</v>
      </c>
      <c r="K53" s="7">
        <v>2.07</v>
      </c>
      <c r="L53" s="7">
        <v>4.29</v>
      </c>
      <c r="M53" s="7">
        <v>3.0</v>
      </c>
      <c r="N53" s="7">
        <v>4.0</v>
      </c>
      <c r="P53" s="8">
        <f t="shared" si="1"/>
        <v>26.28</v>
      </c>
    </row>
    <row r="54" ht="15.75" customHeight="1">
      <c r="A54" s="13">
        <v>46139.0</v>
      </c>
      <c r="B54" s="6" t="s">
        <v>8</v>
      </c>
      <c r="F54" s="7">
        <v>3.63</v>
      </c>
      <c r="G54" s="7">
        <v>3.35</v>
      </c>
      <c r="H54" s="7">
        <v>0.0</v>
      </c>
      <c r="I54" s="7">
        <v>2.98</v>
      </c>
      <c r="J54" s="7">
        <v>3.78</v>
      </c>
      <c r="K54" s="7">
        <v>2.87</v>
      </c>
      <c r="L54" s="7">
        <v>4.82</v>
      </c>
      <c r="M54" s="7">
        <v>2.5</v>
      </c>
      <c r="N54" s="7">
        <v>3.0</v>
      </c>
      <c r="P54" s="8">
        <f t="shared" si="1"/>
        <v>26.93</v>
      </c>
      <c r="Q54" s="8">
        <f>P54+P55</f>
        <v>50.298</v>
      </c>
    </row>
    <row r="55" ht="15.75" customHeight="1">
      <c r="A55" s="9"/>
      <c r="B55" s="6" t="s">
        <v>9</v>
      </c>
      <c r="F55" s="7">
        <v>2.61</v>
      </c>
      <c r="G55" s="7">
        <v>2.85</v>
      </c>
      <c r="H55" s="7">
        <v>1.5</v>
      </c>
      <c r="I55" s="7">
        <v>2.38</v>
      </c>
      <c r="J55" s="7">
        <v>2.86</v>
      </c>
      <c r="K55" s="7">
        <v>2.44</v>
      </c>
      <c r="L55" s="7">
        <v>4.31</v>
      </c>
      <c r="M55" s="7">
        <v>1.86</v>
      </c>
      <c r="N55" s="7">
        <v>2.558</v>
      </c>
      <c r="P55" s="8">
        <f t="shared" si="1"/>
        <v>23.368</v>
      </c>
    </row>
    <row r="56" ht="15.75" customHeight="1">
      <c r="A56" s="13">
        <v>46140.0</v>
      </c>
      <c r="B56" s="6" t="s">
        <v>8</v>
      </c>
      <c r="F56" s="7">
        <v>3.2</v>
      </c>
      <c r="G56" s="7">
        <v>3.19</v>
      </c>
      <c r="H56" s="7">
        <v>0.0</v>
      </c>
      <c r="I56" s="7">
        <v>2.5</v>
      </c>
      <c r="J56" s="7">
        <v>3.37</v>
      </c>
      <c r="K56" s="7">
        <v>2.94</v>
      </c>
      <c r="L56" s="7">
        <v>5.0</v>
      </c>
      <c r="M56" s="7">
        <v>2.05</v>
      </c>
      <c r="N56" s="7">
        <v>3.14</v>
      </c>
      <c r="P56" s="8">
        <f t="shared" si="1"/>
        <v>25.39</v>
      </c>
      <c r="Q56" s="8">
        <f>P56+P57</f>
        <v>50.32</v>
      </c>
    </row>
    <row r="57" ht="15.75" customHeight="1">
      <c r="A57" s="9"/>
      <c r="B57" s="6" t="s">
        <v>9</v>
      </c>
      <c r="F57" s="7">
        <v>3.11</v>
      </c>
      <c r="G57" s="7">
        <v>2.74</v>
      </c>
      <c r="H57" s="7">
        <v>0.96</v>
      </c>
      <c r="I57" s="7">
        <v>2.7</v>
      </c>
      <c r="J57" s="7">
        <v>3.3</v>
      </c>
      <c r="K57" s="7">
        <v>2.92</v>
      </c>
      <c r="L57" s="7">
        <v>4.14</v>
      </c>
      <c r="M57" s="7">
        <v>2.04</v>
      </c>
      <c r="N57" s="7">
        <v>3.02</v>
      </c>
      <c r="P57" s="8">
        <f t="shared" si="1"/>
        <v>24.93</v>
      </c>
    </row>
    <row r="58" ht="15.75" customHeight="1">
      <c r="A58" s="13">
        <v>46141.0</v>
      </c>
      <c r="B58" s="6" t="s">
        <v>8</v>
      </c>
      <c r="F58" s="7">
        <v>4.9</v>
      </c>
      <c r="G58" s="7">
        <v>3.34</v>
      </c>
      <c r="H58" s="7">
        <v>0.0</v>
      </c>
      <c r="I58" s="7">
        <v>1.68</v>
      </c>
      <c r="J58" s="7">
        <v>3.57</v>
      </c>
      <c r="K58" s="7">
        <v>3.8</v>
      </c>
      <c r="L58" s="7">
        <v>4.55</v>
      </c>
      <c r="M58" s="7">
        <v>3.0</v>
      </c>
      <c r="N58" s="7">
        <v>4.11</v>
      </c>
      <c r="P58" s="8">
        <f t="shared" si="1"/>
        <v>28.95</v>
      </c>
      <c r="Q58" s="8">
        <f>P58+P59</f>
        <v>54.34</v>
      </c>
    </row>
    <row r="59" ht="15.75" customHeight="1">
      <c r="A59" s="9"/>
      <c r="B59" s="6" t="s">
        <v>9</v>
      </c>
      <c r="F59" s="7">
        <v>2.78</v>
      </c>
      <c r="G59" s="7">
        <v>2.91</v>
      </c>
      <c r="H59" s="7">
        <v>1.0</v>
      </c>
      <c r="I59" s="7">
        <v>2.98</v>
      </c>
      <c r="J59" s="7">
        <v>3.0</v>
      </c>
      <c r="K59" s="7">
        <v>3.15</v>
      </c>
      <c r="L59" s="7">
        <v>4.28</v>
      </c>
      <c r="M59" s="7">
        <v>2.79</v>
      </c>
      <c r="N59" s="7">
        <v>2.5</v>
      </c>
      <c r="P59" s="8">
        <f t="shared" si="1"/>
        <v>25.39</v>
      </c>
    </row>
    <row r="60" ht="15.75" customHeight="1">
      <c r="A60" s="13">
        <v>46142.0</v>
      </c>
      <c r="B60" s="6" t="s">
        <v>8</v>
      </c>
      <c r="F60" s="7">
        <v>3.8</v>
      </c>
      <c r="G60" s="7">
        <v>3.27</v>
      </c>
      <c r="H60" s="7">
        <v>0.0</v>
      </c>
      <c r="I60" s="7">
        <v>2.78</v>
      </c>
      <c r="J60" s="7">
        <v>3.25</v>
      </c>
      <c r="K60" s="7">
        <v>3.06</v>
      </c>
      <c r="L60" s="7">
        <v>4.59</v>
      </c>
      <c r="M60" s="7">
        <v>2.85</v>
      </c>
      <c r="N60" s="7">
        <v>3.13</v>
      </c>
      <c r="P60" s="8">
        <f t="shared" si="1"/>
        <v>26.73</v>
      </c>
      <c r="Q60" s="8">
        <f>P60+P61</f>
        <v>55.11</v>
      </c>
    </row>
    <row r="61" ht="15.75" customHeight="1">
      <c r="A61" s="9"/>
      <c r="B61" s="6" t="s">
        <v>9</v>
      </c>
      <c r="F61" s="7">
        <v>5.67</v>
      </c>
      <c r="G61" s="7">
        <v>3.49</v>
      </c>
      <c r="H61" s="7">
        <v>0.78</v>
      </c>
      <c r="I61" s="7">
        <v>1.88</v>
      </c>
      <c r="J61" s="7">
        <v>3.27</v>
      </c>
      <c r="K61" s="7">
        <v>2.88</v>
      </c>
      <c r="L61" s="7">
        <v>3.71</v>
      </c>
      <c r="M61" s="7">
        <v>3.0</v>
      </c>
      <c r="N61" s="7">
        <v>3.7</v>
      </c>
      <c r="P61" s="8">
        <f t="shared" si="1"/>
        <v>28.38</v>
      </c>
    </row>
    <row r="62" ht="15.75" customHeight="1">
      <c r="A62" s="13"/>
      <c r="B62" s="6" t="s">
        <v>8</v>
      </c>
      <c r="P62" s="8">
        <f t="shared" si="1"/>
        <v>0</v>
      </c>
      <c r="Q62" s="8">
        <f>P62+P63</f>
        <v>0</v>
      </c>
    </row>
    <row r="63" ht="15.75" customHeight="1">
      <c r="A63" s="9"/>
      <c r="B63" s="6" t="s">
        <v>9</v>
      </c>
      <c r="M63" s="7"/>
      <c r="N63" s="7"/>
      <c r="O63" s="7"/>
      <c r="P63" s="8">
        <f t="shared" si="1"/>
        <v>0</v>
      </c>
    </row>
    <row r="64" ht="15.75" customHeight="1">
      <c r="A64" s="14"/>
      <c r="P64" s="8">
        <f t="shared" si="1"/>
        <v>0</v>
      </c>
    </row>
    <row r="65" ht="15.75" customHeight="1"/>
    <row r="66" ht="15.75" customHeight="1">
      <c r="A66" s="14"/>
    </row>
    <row r="67" ht="15.75" customHeight="1"/>
    <row r="68" ht="15.75" customHeight="1"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75" customHeight="1"/>
    <row r="70" ht="15.75" customHeight="1">
      <c r="A70" s="10"/>
    </row>
    <row r="71" ht="15.75" customHeight="1"/>
    <row r="72" ht="15.75" customHeight="1">
      <c r="A72" s="10"/>
    </row>
    <row r="73" ht="15.75" customHeight="1"/>
    <row r="74" ht="15.75" customHeight="1">
      <c r="A74" s="10"/>
    </row>
    <row r="75" ht="15.75" customHeight="1"/>
    <row r="76" ht="15.75" customHeight="1">
      <c r="A76" s="10"/>
    </row>
    <row r="77" ht="15.75" customHeight="1"/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  <c r="K103" s="7" t="s">
        <v>33</v>
      </c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72:A73"/>
    <mergeCell ref="A74:A75"/>
    <mergeCell ref="A76:A77"/>
    <mergeCell ref="A58:A59"/>
    <mergeCell ref="A60:A61"/>
    <mergeCell ref="A62:A63"/>
    <mergeCell ref="A64:A65"/>
    <mergeCell ref="A66:A67"/>
    <mergeCell ref="A68:A69"/>
    <mergeCell ref="A70:A71"/>
  </mergeCells>
  <printOptions/>
  <pageMargins bottom="0.75" footer="0.0" header="0.0" left="0.7" right="0.7" top="0.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34</v>
      </c>
      <c r="B1" s="8" t="s">
        <v>35</v>
      </c>
    </row>
    <row r="2">
      <c r="A2" s="19" t="s">
        <v>36</v>
      </c>
      <c r="B2" s="20">
        <f>Sum(B3:B13)</f>
        <v>1411.55</v>
      </c>
    </row>
    <row r="4">
      <c r="A4" s="7" t="s">
        <v>2</v>
      </c>
      <c r="B4" s="8">
        <f>sum('Mar 2026'!C2:C63)</f>
        <v>0</v>
      </c>
    </row>
    <row r="5">
      <c r="A5" s="7" t="s">
        <v>3</v>
      </c>
      <c r="B5" s="8">
        <f>sum('Mar 2026'!D2:D63)</f>
        <v>0</v>
      </c>
    </row>
    <row r="6">
      <c r="A6" s="7" t="s">
        <v>4</v>
      </c>
      <c r="B6" s="8">
        <f>sum('Mar 2026'!E2:E63)</f>
        <v>0</v>
      </c>
    </row>
    <row r="7">
      <c r="A7" s="7" t="s">
        <v>5</v>
      </c>
      <c r="B7" s="8">
        <f>sum('Mar 2026'!F2:F63)</f>
        <v>226.75</v>
      </c>
    </row>
    <row r="8">
      <c r="A8" s="7" t="s">
        <v>11</v>
      </c>
      <c r="B8" s="8">
        <f>sum('Mar 2026'!G2:G63)</f>
        <v>192.5</v>
      </c>
    </row>
    <row r="9">
      <c r="A9" s="7" t="s">
        <v>12</v>
      </c>
      <c r="B9" s="8">
        <f>sum('Mar 2026'!H2:H63)</f>
        <v>160.45</v>
      </c>
    </row>
    <row r="10">
      <c r="A10" s="7" t="s">
        <v>13</v>
      </c>
      <c r="B10" s="8">
        <f>sum('Mar 2026'!I2:I63)</f>
        <v>130.5</v>
      </c>
    </row>
    <row r="11">
      <c r="A11" s="7" t="s">
        <v>14</v>
      </c>
      <c r="B11" s="8">
        <f>sum('Mar 2026'!J2:J63)</f>
        <v>223</v>
      </c>
    </row>
    <row r="12">
      <c r="A12" s="7" t="s">
        <v>15</v>
      </c>
      <c r="B12" s="8">
        <f>sum('Mar 2026'!K2:K63)</f>
        <v>206.9</v>
      </c>
    </row>
    <row r="13">
      <c r="A13" s="7" t="s">
        <v>16</v>
      </c>
      <c r="B13" s="8">
        <f>sum('Mar 2026'!L2:L63)</f>
        <v>271.45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7.86"/>
    <col customWidth="1" min="4" max="4" width="7.0"/>
    <col customWidth="1" min="5" max="5" width="8.29"/>
    <col customWidth="1" min="6" max="6" width="11.29"/>
    <col customWidth="1" min="7" max="7" width="9.43"/>
    <col customWidth="1" min="8" max="8" width="10.43"/>
    <col customWidth="1" min="9" max="9" width="10.71"/>
    <col customWidth="1" min="10" max="10" width="10.0"/>
    <col customWidth="1" min="11" max="11" width="9.0"/>
  </cols>
  <sheetData>
    <row r="1">
      <c r="B1" s="7" t="s">
        <v>41</v>
      </c>
      <c r="C1" s="7" t="s">
        <v>42</v>
      </c>
      <c r="D1" s="7" t="s">
        <v>43</v>
      </c>
      <c r="E1" s="28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29">
        <v>46048.0</v>
      </c>
      <c r="K1" s="30">
        <v>46079.0</v>
      </c>
      <c r="L1" s="29">
        <v>46107.0</v>
      </c>
      <c r="M1" s="30">
        <v>46138.0</v>
      </c>
      <c r="N1" s="29">
        <v>46168.0</v>
      </c>
      <c r="O1" s="29">
        <v>46199.0</v>
      </c>
    </row>
    <row r="2">
      <c r="A2" s="7" t="s">
        <v>49</v>
      </c>
      <c r="B2" s="7" t="s">
        <v>50</v>
      </c>
    </row>
    <row r="3">
      <c r="A3" s="7" t="s">
        <v>2</v>
      </c>
      <c r="B3" s="8">
        <f t="shared" ref="B3:B13" si="1">sum(C3:Z3)</f>
        <v>1135.9</v>
      </c>
      <c r="C3" s="8">
        <f>'June Summary'!B4</f>
        <v>141.7</v>
      </c>
      <c r="D3" s="8">
        <f>'July Summary'!B4</f>
        <v>238.1</v>
      </c>
      <c r="E3" s="8">
        <f>'August Summary'!B4</f>
        <v>216.7</v>
      </c>
      <c r="F3" s="8">
        <f>'September Summary'!B4</f>
        <v>203.4</v>
      </c>
      <c r="G3" s="8">
        <f>'October Summary'!B4</f>
        <v>182.7</v>
      </c>
      <c r="H3" s="8">
        <f>'November Summary'!B4</f>
        <v>92.6</v>
      </c>
      <c r="I3" s="8">
        <f>'December Summary'!B4</f>
        <v>44.1</v>
      </c>
      <c r="J3" s="8">
        <f>'January 26 Summary'!B4</f>
        <v>16.6</v>
      </c>
      <c r="K3" s="8">
        <f>'Feb 26 Summary'!B4</f>
        <v>0</v>
      </c>
      <c r="L3" s="8">
        <f>'Mar 26 Summary'!B4</f>
        <v>0</v>
      </c>
      <c r="M3" s="8">
        <f>'April 26 Summary'!B4</f>
        <v>0</v>
      </c>
    </row>
    <row r="4">
      <c r="A4" s="7" t="s">
        <v>3</v>
      </c>
      <c r="B4" s="8">
        <f t="shared" si="1"/>
        <v>298.1</v>
      </c>
      <c r="C4" s="8">
        <f>'June Summary'!B5</f>
        <v>116.3</v>
      </c>
      <c r="D4" s="8">
        <f>'July Summary'!B5</f>
        <v>87</v>
      </c>
      <c r="E4" s="8">
        <f>'August Summary'!B5</f>
        <v>93.1</v>
      </c>
      <c r="F4" s="8">
        <f>'September Summary'!B5</f>
        <v>1.7</v>
      </c>
      <c r="G4" s="8">
        <f>'October Summary'!B5</f>
        <v>0</v>
      </c>
      <c r="H4" s="8">
        <f>'November Summary'!B5</f>
        <v>0</v>
      </c>
      <c r="I4" s="8">
        <f>'December Summary'!B5</f>
        <v>0</v>
      </c>
      <c r="J4" s="8">
        <f>'January 26 Summary'!B5</f>
        <v>0</v>
      </c>
      <c r="K4" s="8">
        <f>'Feb 26 Summary'!B5</f>
        <v>0</v>
      </c>
      <c r="L4" s="8">
        <f>'Mar 26 Summary'!B5</f>
        <v>0</v>
      </c>
      <c r="M4" s="8">
        <f>'April 26 Summary'!B5</f>
        <v>0</v>
      </c>
    </row>
    <row r="5">
      <c r="A5" s="7" t="s">
        <v>4</v>
      </c>
      <c r="B5" s="8">
        <f t="shared" si="1"/>
        <v>556.1</v>
      </c>
      <c r="C5" s="8">
        <f>'June Summary'!B6</f>
        <v>78.7</v>
      </c>
      <c r="D5" s="8">
        <f>'July Summary'!B6</f>
        <v>88.6</v>
      </c>
      <c r="E5" s="8">
        <f>'August Summary'!B6</f>
        <v>144</v>
      </c>
      <c r="F5" s="8">
        <f>'September Summary'!B6</f>
        <v>141.2</v>
      </c>
      <c r="G5" s="8">
        <f>'October Summary'!B6</f>
        <v>99.6</v>
      </c>
      <c r="H5" s="8">
        <f>'November Summary'!B6</f>
        <v>4</v>
      </c>
      <c r="I5" s="8">
        <f>'December Summary'!B6</f>
        <v>0</v>
      </c>
      <c r="J5" s="8">
        <f>'January 26 Summary'!B6</f>
        <v>0</v>
      </c>
      <c r="K5" s="8">
        <f>'Feb 26 Summary'!B6</f>
        <v>0</v>
      </c>
      <c r="L5" s="8">
        <f>'Mar 26 Summary'!B6</f>
        <v>0</v>
      </c>
      <c r="M5" s="8">
        <f>'April 26 Summary'!B6</f>
        <v>0</v>
      </c>
    </row>
    <row r="6">
      <c r="A6" s="7" t="s">
        <v>5</v>
      </c>
      <c r="B6" s="8">
        <f t="shared" si="1"/>
        <v>2085.71</v>
      </c>
      <c r="D6" s="8">
        <f>'July Summary'!B7</f>
        <v>159.2</v>
      </c>
      <c r="E6" s="8">
        <f>'August Summary'!B7</f>
        <v>247.3</v>
      </c>
      <c r="F6" s="8">
        <f>'September Summary'!B7</f>
        <v>192.8</v>
      </c>
      <c r="G6" s="8">
        <f>'October Summary'!B7</f>
        <v>181.1</v>
      </c>
      <c r="H6" s="8">
        <f>'November Summary'!B7</f>
        <v>166.5</v>
      </c>
      <c r="I6" s="8">
        <f>'December Summary'!B7</f>
        <v>173.2</v>
      </c>
      <c r="J6" s="8">
        <f>'January 26 Summary'!B7</f>
        <v>272.3</v>
      </c>
      <c r="K6" s="8">
        <f>'Feb 26 Summary'!B7</f>
        <v>251</v>
      </c>
      <c r="L6" s="8">
        <f>'Mar 26 Summary'!B7</f>
        <v>226.75</v>
      </c>
      <c r="M6" s="8">
        <f>'April 26 Summary'!B7</f>
        <v>215.56</v>
      </c>
    </row>
    <row r="7">
      <c r="A7" s="7" t="s">
        <v>11</v>
      </c>
      <c r="B7" s="8">
        <f t="shared" si="1"/>
        <v>1456.66</v>
      </c>
      <c r="G7" s="8">
        <f>'October Summary'!B8</f>
        <v>70.4</v>
      </c>
      <c r="H7" s="8">
        <f>'November Summary'!B8</f>
        <v>237.9</v>
      </c>
      <c r="I7" s="8">
        <f>'December Summary'!B8</f>
        <v>220.3</v>
      </c>
      <c r="J7" s="8">
        <f>'January 26 Summary'!B8</f>
        <v>289.7</v>
      </c>
      <c r="K7" s="8">
        <f>'Feb 26 Summary'!B8</f>
        <v>262.1</v>
      </c>
      <c r="L7" s="8">
        <f>'Mar 26 Summary'!B8</f>
        <v>192.5</v>
      </c>
      <c r="M7" s="8">
        <f>'April 26 Summary'!B8</f>
        <v>183.76</v>
      </c>
    </row>
    <row r="8">
      <c r="A8" s="7" t="s">
        <v>12</v>
      </c>
      <c r="B8" s="8">
        <f t="shared" si="1"/>
        <v>821.28</v>
      </c>
      <c r="H8" s="8">
        <f>'November Summary'!B9</f>
        <v>81.4</v>
      </c>
      <c r="I8" s="8">
        <f>'December Summary'!B9</f>
        <v>114.4</v>
      </c>
      <c r="J8" s="8">
        <f>'January 26 Summary'!B9</f>
        <v>206.5</v>
      </c>
      <c r="K8" s="8">
        <f>'Feb 26 Summary'!B9</f>
        <v>183.6</v>
      </c>
      <c r="L8" s="8">
        <f>'Mar 26 Summary'!B9</f>
        <v>160.45</v>
      </c>
      <c r="M8" s="8">
        <f>'April 26 Summary'!B9</f>
        <v>74.93</v>
      </c>
    </row>
    <row r="9">
      <c r="A9" s="7" t="s">
        <v>38</v>
      </c>
      <c r="B9" s="8">
        <f t="shared" si="1"/>
        <v>19.8</v>
      </c>
      <c r="H9" s="8">
        <f>'November Summary'!B10</f>
        <v>19.8</v>
      </c>
    </row>
    <row r="10">
      <c r="A10" s="7" t="s">
        <v>39</v>
      </c>
      <c r="B10" s="8">
        <f t="shared" si="1"/>
        <v>717.16</v>
      </c>
      <c r="I10" s="8">
        <f>'December Summary'!B10</f>
        <v>194.3</v>
      </c>
      <c r="J10" s="8">
        <f>'January 26 Summary'!B10</f>
        <v>231.9</v>
      </c>
      <c r="K10" s="8">
        <f>'Feb 26 Summary'!B10</f>
        <v>18.7</v>
      </c>
      <c r="L10" s="8">
        <f>'Mar 26 Summary'!B10</f>
        <v>130.5</v>
      </c>
      <c r="M10" s="8">
        <f>'April 26 Summary'!B10</f>
        <v>141.76</v>
      </c>
    </row>
    <row r="11">
      <c r="A11" s="7" t="s">
        <v>14</v>
      </c>
      <c r="B11" s="8">
        <f t="shared" si="1"/>
        <v>515.8</v>
      </c>
      <c r="K11" s="8">
        <f>'Feb 26 Summary'!B11</f>
        <v>98.5</v>
      </c>
      <c r="L11" s="8">
        <f>'Mar 26 Summary'!B11</f>
        <v>223</v>
      </c>
      <c r="M11" s="8">
        <f>'April 26 Summary'!B11</f>
        <v>194.3</v>
      </c>
    </row>
    <row r="12">
      <c r="A12" s="7" t="s">
        <v>15</v>
      </c>
      <c r="B12" s="8">
        <f t="shared" si="1"/>
        <v>487.09</v>
      </c>
      <c r="K12" s="8">
        <f>'Feb 26 Summary'!B12</f>
        <v>98.4</v>
      </c>
      <c r="L12" s="8">
        <f>'Mar 26 Summary'!B12</f>
        <v>206.9</v>
      </c>
      <c r="M12" s="8">
        <f>'April 26 Summary'!B12</f>
        <v>181.79</v>
      </c>
    </row>
    <row r="13">
      <c r="A13" s="7" t="s">
        <v>16</v>
      </c>
      <c r="B13" s="8">
        <f t="shared" si="1"/>
        <v>645.03</v>
      </c>
      <c r="K13" s="8">
        <f>'Feb 26 Summary'!B13</f>
        <v>120</v>
      </c>
      <c r="L13" s="8">
        <f>'Mar 26 Summary'!B13</f>
        <v>271.45</v>
      </c>
      <c r="M13" s="8">
        <f>'April 26 Summary'!B13</f>
        <v>253.58</v>
      </c>
    </row>
    <row r="15">
      <c r="A15" s="7" t="s">
        <v>33</v>
      </c>
    </row>
    <row r="16">
      <c r="A16" s="7" t="s">
        <v>51</v>
      </c>
      <c r="C16" s="31">
        <f t="shared" ref="C16:O16" si="2">Sum(C3:C13)</f>
        <v>336.7</v>
      </c>
      <c r="D16" s="31">
        <f t="shared" si="2"/>
        <v>572.9</v>
      </c>
      <c r="E16" s="31">
        <f t="shared" si="2"/>
        <v>701.1</v>
      </c>
      <c r="F16" s="31">
        <f t="shared" si="2"/>
        <v>539.1</v>
      </c>
      <c r="G16" s="31">
        <f t="shared" si="2"/>
        <v>533.8</v>
      </c>
      <c r="H16" s="31">
        <f t="shared" si="2"/>
        <v>602.2</v>
      </c>
      <c r="I16" s="31">
        <f t="shared" si="2"/>
        <v>746.3</v>
      </c>
      <c r="J16" s="31">
        <f t="shared" si="2"/>
        <v>1017</v>
      </c>
      <c r="K16" s="31">
        <f t="shared" si="2"/>
        <v>1032.3</v>
      </c>
      <c r="L16" s="31">
        <f t="shared" si="2"/>
        <v>1411.55</v>
      </c>
      <c r="M16" s="31">
        <f t="shared" si="2"/>
        <v>1245.68</v>
      </c>
      <c r="N16" s="31">
        <f t="shared" si="2"/>
        <v>0</v>
      </c>
      <c r="O16" s="31">
        <f t="shared" si="2"/>
        <v>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6" width="8.71"/>
    <col customWidth="1" min="7" max="16" width="14.86"/>
    <col customWidth="1" min="17" max="17" width="17.71"/>
    <col customWidth="1" min="18" max="18" width="8.71"/>
    <col customWidth="1" min="19" max="19" width="20.29"/>
    <col customWidth="1" min="20" max="20" width="16.71"/>
    <col customWidth="1" min="21" max="21" width="15.57"/>
    <col customWidth="1" min="22" max="31" width="8.71"/>
  </cols>
  <sheetData>
    <row r="1">
      <c r="A1" s="3" t="s">
        <v>10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/>
      <c r="P1" s="2" t="s">
        <v>6</v>
      </c>
      <c r="Q1" s="3" t="s">
        <v>21</v>
      </c>
      <c r="R1" s="4"/>
      <c r="S1" s="11" t="s">
        <v>22</v>
      </c>
      <c r="T1" s="11" t="s">
        <v>23</v>
      </c>
      <c r="U1" s="11" t="s">
        <v>24</v>
      </c>
      <c r="V1" s="12" t="s">
        <v>25</v>
      </c>
      <c r="W1" s="12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2" t="s">
        <v>31</v>
      </c>
      <c r="AC1" s="11" t="s">
        <v>28</v>
      </c>
      <c r="AD1" s="4"/>
      <c r="AE1" s="4"/>
    </row>
    <row r="2">
      <c r="A2" s="13">
        <v>46143.0</v>
      </c>
      <c r="B2" s="6" t="s">
        <v>8</v>
      </c>
      <c r="F2" s="7">
        <v>3.05</v>
      </c>
      <c r="G2" s="7">
        <v>2.59</v>
      </c>
      <c r="H2" s="7">
        <v>1.0</v>
      </c>
      <c r="I2" s="7">
        <v>3.25</v>
      </c>
      <c r="J2" s="7">
        <v>3.47</v>
      </c>
      <c r="K2" s="7">
        <v>3.14</v>
      </c>
      <c r="L2" s="7">
        <v>4.83</v>
      </c>
      <c r="M2" s="7">
        <v>2.36</v>
      </c>
      <c r="N2" s="7">
        <v>3.4</v>
      </c>
      <c r="O2" s="7"/>
      <c r="P2" s="8">
        <f t="shared" ref="P2:P56" si="1">SUM(C2:N2)</f>
        <v>27.09</v>
      </c>
      <c r="Q2" s="8">
        <f>P2+P3</f>
        <v>52.94</v>
      </c>
    </row>
    <row r="3">
      <c r="A3" s="9"/>
      <c r="B3" s="6" t="s">
        <v>9</v>
      </c>
      <c r="F3" s="7">
        <v>3.76</v>
      </c>
      <c r="G3" s="7">
        <v>3.37</v>
      </c>
      <c r="H3" s="7">
        <v>1.6</v>
      </c>
      <c r="I3" s="7">
        <v>1.69</v>
      </c>
      <c r="J3" s="7">
        <v>3.14</v>
      </c>
      <c r="K3" s="7">
        <v>2.6</v>
      </c>
      <c r="L3" s="7">
        <v>4.55</v>
      </c>
      <c r="M3" s="7">
        <v>2.82</v>
      </c>
      <c r="N3" s="7">
        <v>2.32</v>
      </c>
      <c r="P3" s="8">
        <f t="shared" si="1"/>
        <v>25.85</v>
      </c>
    </row>
    <row r="4">
      <c r="A4" s="13">
        <v>46144.0</v>
      </c>
      <c r="B4" s="6" t="s">
        <v>8</v>
      </c>
      <c r="F4" s="7">
        <v>3.91</v>
      </c>
      <c r="G4" s="7">
        <v>3.47</v>
      </c>
      <c r="H4" s="7">
        <v>0.0</v>
      </c>
      <c r="I4" s="7">
        <v>2.4</v>
      </c>
      <c r="J4" s="7">
        <v>3.28</v>
      </c>
      <c r="K4" s="7">
        <v>3.1</v>
      </c>
      <c r="L4" s="7">
        <v>4.5</v>
      </c>
      <c r="M4" s="7">
        <v>3.2</v>
      </c>
      <c r="N4" s="7">
        <v>3.94</v>
      </c>
      <c r="P4" s="8">
        <f t="shared" si="1"/>
        <v>27.8</v>
      </c>
      <c r="Q4" s="8">
        <f>P4+P5</f>
        <v>53.6</v>
      </c>
    </row>
    <row r="5">
      <c r="A5" s="9"/>
      <c r="B5" s="6" t="s">
        <v>9</v>
      </c>
      <c r="F5" s="7">
        <v>3.63</v>
      </c>
      <c r="G5" s="7">
        <v>3.17</v>
      </c>
      <c r="H5" s="7">
        <v>0.3</v>
      </c>
      <c r="I5" s="7">
        <v>2.25</v>
      </c>
      <c r="J5" s="7">
        <v>3.17</v>
      </c>
      <c r="K5" s="7">
        <v>2.62</v>
      </c>
      <c r="L5" s="7">
        <v>3.97</v>
      </c>
      <c r="M5" s="7">
        <v>2.96</v>
      </c>
      <c r="N5" s="7">
        <v>3.73</v>
      </c>
      <c r="P5" s="8">
        <f t="shared" si="1"/>
        <v>25.8</v>
      </c>
    </row>
    <row r="6">
      <c r="A6" s="13">
        <v>46145.0</v>
      </c>
      <c r="B6" s="6" t="s">
        <v>8</v>
      </c>
      <c r="F6" s="7">
        <v>3.73</v>
      </c>
      <c r="G6" s="7">
        <v>3.715</v>
      </c>
      <c r="H6" s="7">
        <v>0.0</v>
      </c>
      <c r="I6" s="7">
        <v>2.34</v>
      </c>
      <c r="J6" s="7">
        <v>3.57</v>
      </c>
      <c r="K6" s="7">
        <v>2.77</v>
      </c>
      <c r="L6" s="7">
        <v>4.5</v>
      </c>
      <c r="M6" s="7">
        <v>3.22</v>
      </c>
      <c r="N6" s="7">
        <v>3.6</v>
      </c>
      <c r="P6" s="8">
        <f t="shared" si="1"/>
        <v>27.445</v>
      </c>
      <c r="Q6" s="8">
        <f>P6+P7</f>
        <v>52.722</v>
      </c>
    </row>
    <row r="7">
      <c r="A7" s="9"/>
      <c r="B7" s="6" t="s">
        <v>9</v>
      </c>
      <c r="F7" s="7">
        <v>3.7</v>
      </c>
      <c r="G7" s="7">
        <v>3.04</v>
      </c>
      <c r="H7" s="7">
        <v>0.0</v>
      </c>
      <c r="I7" s="7">
        <v>1.85</v>
      </c>
      <c r="J7" s="7">
        <v>2.68</v>
      </c>
      <c r="K7" s="7">
        <v>2.77</v>
      </c>
      <c r="L7" s="7">
        <v>4.117</v>
      </c>
      <c r="M7" s="7">
        <v>3.81</v>
      </c>
      <c r="N7" s="7">
        <v>3.31</v>
      </c>
      <c r="P7" s="8">
        <f t="shared" si="1"/>
        <v>25.277</v>
      </c>
    </row>
    <row r="8">
      <c r="A8" s="13">
        <v>46116.0</v>
      </c>
      <c r="B8" s="6" t="s">
        <v>8</v>
      </c>
      <c r="F8" s="7">
        <v>3.03</v>
      </c>
      <c r="G8" s="7">
        <v>3.48</v>
      </c>
      <c r="H8" s="7">
        <v>0.0</v>
      </c>
      <c r="I8" s="7">
        <v>1.81</v>
      </c>
      <c r="J8" s="7">
        <v>3.83</v>
      </c>
      <c r="K8" s="7">
        <v>3.6</v>
      </c>
      <c r="L8" s="7">
        <v>4.89</v>
      </c>
      <c r="M8" s="7">
        <v>2.94</v>
      </c>
      <c r="N8" s="7">
        <v>3.25</v>
      </c>
      <c r="P8" s="8">
        <f t="shared" si="1"/>
        <v>26.83</v>
      </c>
      <c r="Q8" s="8">
        <f>P8+P9</f>
        <v>52.29</v>
      </c>
    </row>
    <row r="9">
      <c r="A9" s="9"/>
      <c r="B9" s="6" t="s">
        <v>9</v>
      </c>
      <c r="F9" s="7">
        <v>3.83</v>
      </c>
      <c r="G9" s="7">
        <v>3.36</v>
      </c>
      <c r="H9" s="7">
        <v>1.4</v>
      </c>
      <c r="I9" s="7">
        <v>2.1</v>
      </c>
      <c r="J9" s="7">
        <v>3.4</v>
      </c>
      <c r="K9" s="7">
        <v>2.77</v>
      </c>
      <c r="L9" s="7">
        <v>3.74</v>
      </c>
      <c r="M9" s="7">
        <v>2.58</v>
      </c>
      <c r="N9" s="7">
        <v>2.28</v>
      </c>
      <c r="P9" s="8">
        <f t="shared" si="1"/>
        <v>25.46</v>
      </c>
    </row>
    <row r="10">
      <c r="A10" s="13">
        <v>46147.0</v>
      </c>
      <c r="B10" s="6" t="s">
        <v>8</v>
      </c>
      <c r="F10" s="7">
        <v>3.09</v>
      </c>
      <c r="G10" s="7">
        <v>3.07</v>
      </c>
      <c r="H10" s="7">
        <v>0.0</v>
      </c>
      <c r="I10" s="7">
        <v>1.93</v>
      </c>
      <c r="J10" s="7">
        <v>3.54</v>
      </c>
      <c r="K10" s="7">
        <v>3.7</v>
      </c>
      <c r="L10" s="7">
        <v>4.52</v>
      </c>
      <c r="M10" s="7">
        <v>3.57</v>
      </c>
      <c r="N10" s="7">
        <v>3.26</v>
      </c>
      <c r="P10" s="8">
        <f t="shared" si="1"/>
        <v>26.68</v>
      </c>
      <c r="Q10" s="8">
        <f>P10+P11</f>
        <v>52.03</v>
      </c>
    </row>
    <row r="11">
      <c r="A11" s="9"/>
      <c r="B11" s="6" t="s">
        <v>9</v>
      </c>
      <c r="F11" s="7">
        <v>3.71</v>
      </c>
      <c r="G11" s="7">
        <v>3.52</v>
      </c>
      <c r="H11" s="7">
        <v>0.7</v>
      </c>
      <c r="I11" s="7">
        <v>1.81</v>
      </c>
      <c r="J11" s="7">
        <v>2.85</v>
      </c>
      <c r="K11" s="7">
        <v>2.69</v>
      </c>
      <c r="L11" s="7">
        <v>4.13</v>
      </c>
      <c r="M11" s="7">
        <v>2.53</v>
      </c>
      <c r="N11" s="7">
        <v>3.41</v>
      </c>
      <c r="P11" s="8">
        <f t="shared" si="1"/>
        <v>25.35</v>
      </c>
    </row>
    <row r="12">
      <c r="A12" s="13">
        <v>46148.0</v>
      </c>
      <c r="B12" s="6" t="s">
        <v>8</v>
      </c>
      <c r="F12" s="7">
        <v>2.6</v>
      </c>
      <c r="G12" s="7">
        <v>3.38</v>
      </c>
      <c r="H12" s="7">
        <v>0.0</v>
      </c>
      <c r="I12" s="7">
        <v>1.89</v>
      </c>
      <c r="J12" s="7">
        <v>3.54</v>
      </c>
      <c r="K12" s="7">
        <v>3.18</v>
      </c>
      <c r="L12" s="7">
        <v>4.92</v>
      </c>
      <c r="M12" s="7">
        <v>2.73</v>
      </c>
      <c r="N12" s="7">
        <v>3.53</v>
      </c>
      <c r="P12" s="8">
        <f t="shared" si="1"/>
        <v>25.77</v>
      </c>
      <c r="Q12" s="8">
        <f>P12+P13</f>
        <v>50.98</v>
      </c>
    </row>
    <row r="13">
      <c r="A13" s="9"/>
      <c r="B13" s="6" t="s">
        <v>9</v>
      </c>
      <c r="F13" s="7">
        <v>3.73</v>
      </c>
      <c r="G13" s="7">
        <v>2.79</v>
      </c>
      <c r="H13" s="7">
        <v>1.2</v>
      </c>
      <c r="I13" s="7">
        <v>2.23</v>
      </c>
      <c r="J13" s="7">
        <v>2.85</v>
      </c>
      <c r="K13" s="7">
        <v>2.88</v>
      </c>
      <c r="L13" s="7">
        <v>4.4</v>
      </c>
      <c r="M13" s="7">
        <v>2.26</v>
      </c>
      <c r="N13" s="7">
        <v>2.87</v>
      </c>
      <c r="P13" s="8">
        <f t="shared" si="1"/>
        <v>25.21</v>
      </c>
    </row>
    <row r="14">
      <c r="A14" s="13">
        <v>46149.0</v>
      </c>
      <c r="B14" s="6" t="s">
        <v>8</v>
      </c>
      <c r="F14" s="7">
        <v>3.38</v>
      </c>
      <c r="G14" s="7">
        <v>2.6</v>
      </c>
      <c r="H14" s="7">
        <v>0.0</v>
      </c>
      <c r="I14" s="7">
        <v>1.51</v>
      </c>
      <c r="J14" s="7">
        <v>3.37</v>
      </c>
      <c r="K14" s="7">
        <v>3.1</v>
      </c>
      <c r="L14" s="7">
        <v>4.66</v>
      </c>
      <c r="M14" s="7">
        <v>2.86</v>
      </c>
      <c r="N14" s="7">
        <v>3.44</v>
      </c>
      <c r="P14" s="8">
        <f t="shared" si="1"/>
        <v>24.92</v>
      </c>
      <c r="Q14" s="8">
        <f>P14+P15</f>
        <v>48</v>
      </c>
    </row>
    <row r="15">
      <c r="A15" s="9"/>
      <c r="B15" s="6" t="s">
        <v>9</v>
      </c>
      <c r="F15" s="7">
        <v>3.1</v>
      </c>
      <c r="G15" s="7">
        <v>2.6</v>
      </c>
      <c r="H15" s="7">
        <v>0.0</v>
      </c>
      <c r="I15" s="7">
        <v>1.67</v>
      </c>
      <c r="J15" s="7">
        <v>2.97</v>
      </c>
      <c r="K15" s="7">
        <v>2.77</v>
      </c>
      <c r="L15" s="7">
        <v>4.66</v>
      </c>
      <c r="M15" s="7">
        <v>2.19</v>
      </c>
      <c r="N15" s="7">
        <v>3.12</v>
      </c>
      <c r="P15" s="8">
        <f t="shared" si="1"/>
        <v>23.08</v>
      </c>
    </row>
    <row r="16">
      <c r="A16" s="13">
        <v>46150.0</v>
      </c>
      <c r="B16" s="6" t="s">
        <v>8</v>
      </c>
      <c r="F16" s="7">
        <v>4.2</v>
      </c>
      <c r="G16" s="7">
        <v>3.01</v>
      </c>
      <c r="H16" s="7">
        <v>0.0</v>
      </c>
      <c r="I16" s="7">
        <v>2.115</v>
      </c>
      <c r="J16" s="7">
        <v>3.65</v>
      </c>
      <c r="K16" s="7">
        <v>3.23</v>
      </c>
      <c r="L16" s="7">
        <v>4.8</v>
      </c>
      <c r="M16" s="7">
        <v>2.74</v>
      </c>
      <c r="N16" s="7">
        <v>3.1</v>
      </c>
      <c r="P16" s="8">
        <f t="shared" si="1"/>
        <v>26.845</v>
      </c>
      <c r="Q16" s="8">
        <f>P16+P17</f>
        <v>50.425</v>
      </c>
    </row>
    <row r="17">
      <c r="A17" s="9"/>
      <c r="B17" s="6" t="s">
        <v>9</v>
      </c>
      <c r="F17" s="7">
        <v>3.39</v>
      </c>
      <c r="G17" s="7">
        <v>2.54</v>
      </c>
      <c r="H17" s="7">
        <v>0.0</v>
      </c>
      <c r="I17" s="7">
        <v>1.56</v>
      </c>
      <c r="J17" s="7">
        <v>3.0</v>
      </c>
      <c r="K17" s="7">
        <v>2.84</v>
      </c>
      <c r="L17" s="7">
        <v>4.61</v>
      </c>
      <c r="M17" s="7">
        <v>2.44</v>
      </c>
      <c r="N17" s="7">
        <v>3.2</v>
      </c>
      <c r="P17" s="8">
        <f t="shared" si="1"/>
        <v>23.58</v>
      </c>
    </row>
    <row r="18">
      <c r="A18" s="13">
        <v>46151.0</v>
      </c>
      <c r="B18" s="6" t="s">
        <v>8</v>
      </c>
      <c r="F18" s="7">
        <v>2.2</v>
      </c>
      <c r="G18" s="7">
        <v>3.34</v>
      </c>
      <c r="H18" s="7">
        <v>0.0</v>
      </c>
      <c r="I18" s="7">
        <v>1.66</v>
      </c>
      <c r="J18" s="7">
        <v>3.5</v>
      </c>
      <c r="K18" s="7">
        <v>3.0</v>
      </c>
      <c r="L18" s="7">
        <v>4.62</v>
      </c>
      <c r="M18" s="7">
        <v>2.08</v>
      </c>
      <c r="N18" s="7">
        <v>3.6</v>
      </c>
      <c r="P18" s="8">
        <f t="shared" si="1"/>
        <v>24</v>
      </c>
      <c r="Q18" s="8">
        <f>P18+P19</f>
        <v>45.7</v>
      </c>
    </row>
    <row r="19">
      <c r="A19" s="9"/>
      <c r="B19" s="6" t="s">
        <v>9</v>
      </c>
      <c r="F19" s="7">
        <v>1.73</v>
      </c>
      <c r="G19" s="7">
        <v>2.93</v>
      </c>
      <c r="H19" s="7">
        <v>0.6</v>
      </c>
      <c r="I19" s="7">
        <v>1.69</v>
      </c>
      <c r="J19" s="7">
        <v>2.6</v>
      </c>
      <c r="K19" s="7">
        <v>2.76</v>
      </c>
      <c r="L19" s="7">
        <v>3.05</v>
      </c>
      <c r="M19" s="7">
        <v>2.74</v>
      </c>
      <c r="N19" s="7">
        <v>3.6</v>
      </c>
      <c r="O19" s="7"/>
      <c r="P19" s="8">
        <f t="shared" si="1"/>
        <v>21.7</v>
      </c>
    </row>
    <row r="20">
      <c r="A20" s="13">
        <v>46152.0</v>
      </c>
      <c r="B20" s="6" t="s">
        <v>8</v>
      </c>
      <c r="F20" s="7">
        <v>4.89</v>
      </c>
      <c r="G20" s="7">
        <v>3.7</v>
      </c>
      <c r="H20" s="7">
        <v>0.0</v>
      </c>
      <c r="I20" s="7">
        <v>1.35</v>
      </c>
      <c r="J20" s="7">
        <v>3.5</v>
      </c>
      <c r="K20" s="7">
        <v>2.63</v>
      </c>
      <c r="L20" s="7">
        <v>4.89</v>
      </c>
      <c r="M20" s="7">
        <v>2.84</v>
      </c>
      <c r="N20" s="7">
        <v>3.7</v>
      </c>
      <c r="O20" s="7"/>
      <c r="P20" s="8">
        <f t="shared" si="1"/>
        <v>27.5</v>
      </c>
      <c r="Q20" s="8">
        <f>P20+P21</f>
        <v>54.53</v>
      </c>
    </row>
    <row r="21" ht="15.75" customHeight="1">
      <c r="A21" s="9"/>
      <c r="B21" s="6" t="s">
        <v>9</v>
      </c>
      <c r="F21" s="7">
        <v>2.78</v>
      </c>
      <c r="G21" s="7">
        <v>3.25</v>
      </c>
      <c r="H21" s="7">
        <v>0.0</v>
      </c>
      <c r="I21" s="7">
        <v>2.62</v>
      </c>
      <c r="J21" s="7">
        <v>2.86</v>
      </c>
      <c r="K21" s="7">
        <v>3.8</v>
      </c>
      <c r="L21" s="7">
        <v>4.78</v>
      </c>
      <c r="M21" s="7">
        <v>2.76</v>
      </c>
      <c r="N21" s="7">
        <v>4.18</v>
      </c>
      <c r="P21" s="8">
        <f t="shared" si="1"/>
        <v>27.03</v>
      </c>
    </row>
    <row r="22" ht="15.75" customHeight="1">
      <c r="A22" s="13">
        <v>46153.0</v>
      </c>
      <c r="B22" s="6" t="s">
        <v>8</v>
      </c>
      <c r="F22" s="7">
        <v>3.35</v>
      </c>
      <c r="G22" s="7">
        <v>3.2</v>
      </c>
      <c r="H22" s="7">
        <v>0.0</v>
      </c>
      <c r="I22" s="7">
        <v>1.12</v>
      </c>
      <c r="J22" s="7">
        <v>3.5</v>
      </c>
      <c r="K22" s="7">
        <v>2.92</v>
      </c>
      <c r="L22" s="7">
        <v>5.0</v>
      </c>
      <c r="M22" s="7">
        <v>2.85</v>
      </c>
      <c r="N22" s="7">
        <v>4.4</v>
      </c>
      <c r="O22" s="7"/>
      <c r="P22" s="8">
        <f t="shared" si="1"/>
        <v>26.34</v>
      </c>
      <c r="Q22" s="8">
        <f>P22+P23</f>
        <v>51.99</v>
      </c>
    </row>
    <row r="23" ht="15.75" customHeight="1">
      <c r="A23" s="9"/>
      <c r="B23" s="6" t="s">
        <v>9</v>
      </c>
      <c r="F23" s="7">
        <v>2.57</v>
      </c>
      <c r="G23" s="7">
        <v>3.39</v>
      </c>
      <c r="H23" s="7">
        <v>0.0</v>
      </c>
      <c r="I23" s="7">
        <v>3.29</v>
      </c>
      <c r="J23" s="7">
        <v>2.72</v>
      </c>
      <c r="K23" s="7">
        <v>2.6</v>
      </c>
      <c r="L23" s="7">
        <v>4.76</v>
      </c>
      <c r="M23" s="7">
        <v>2.78</v>
      </c>
      <c r="N23" s="7">
        <v>3.54</v>
      </c>
      <c r="O23" s="7"/>
      <c r="P23" s="8">
        <f t="shared" si="1"/>
        <v>25.65</v>
      </c>
    </row>
    <row r="24" ht="15.75" customHeight="1">
      <c r="A24" s="13">
        <v>46154.0</v>
      </c>
      <c r="B24" s="6" t="s">
        <v>8</v>
      </c>
      <c r="F24" s="7">
        <v>3.18</v>
      </c>
      <c r="G24" s="7">
        <v>3.79</v>
      </c>
      <c r="H24" s="7">
        <v>0.0</v>
      </c>
      <c r="I24" s="7">
        <v>0.0</v>
      </c>
      <c r="J24" s="7">
        <v>3.9</v>
      </c>
      <c r="K24" s="7">
        <v>2.72</v>
      </c>
      <c r="L24" s="7">
        <v>4.81</v>
      </c>
      <c r="M24" s="7">
        <v>3.3</v>
      </c>
      <c r="N24" s="7">
        <v>4.71</v>
      </c>
      <c r="O24" s="7"/>
      <c r="P24" s="8">
        <f t="shared" si="1"/>
        <v>26.41</v>
      </c>
      <c r="Q24" s="8">
        <f>P24+P25</f>
        <v>51.34</v>
      </c>
    </row>
    <row r="25" ht="15.75" customHeight="1">
      <c r="A25" s="9"/>
      <c r="B25" s="6" t="s">
        <v>9</v>
      </c>
      <c r="D25" s="14"/>
      <c r="F25" s="7">
        <v>3.9</v>
      </c>
      <c r="G25" s="7">
        <v>2.88</v>
      </c>
      <c r="H25" s="7">
        <v>0.0</v>
      </c>
      <c r="I25" s="7">
        <v>1.85</v>
      </c>
      <c r="J25" s="7">
        <v>2.75</v>
      </c>
      <c r="K25" s="7">
        <v>2.65</v>
      </c>
      <c r="L25" s="7">
        <v>4.45</v>
      </c>
      <c r="M25" s="7">
        <v>2.89</v>
      </c>
      <c r="N25" s="7">
        <v>3.56</v>
      </c>
      <c r="O25" s="7"/>
      <c r="P25" s="8">
        <f t="shared" si="1"/>
        <v>24.93</v>
      </c>
    </row>
    <row r="26" ht="15.75" customHeight="1">
      <c r="A26" s="13">
        <v>46155.0</v>
      </c>
      <c r="B26" s="6" t="s">
        <v>8</v>
      </c>
      <c r="F26" s="7">
        <v>3.85</v>
      </c>
      <c r="G26" s="7">
        <v>3.25</v>
      </c>
      <c r="H26" s="7">
        <v>0.0</v>
      </c>
      <c r="I26" s="7">
        <v>1.42</v>
      </c>
      <c r="J26" s="7">
        <v>2.93</v>
      </c>
      <c r="K26" s="7">
        <v>2.28</v>
      </c>
      <c r="L26" s="7">
        <v>4.86</v>
      </c>
      <c r="M26" s="7">
        <v>3.26</v>
      </c>
      <c r="N26" s="7">
        <v>4.25</v>
      </c>
      <c r="P26" s="8">
        <f t="shared" si="1"/>
        <v>26.1</v>
      </c>
      <c r="Q26" s="8">
        <f>P26+P27</f>
        <v>49.88</v>
      </c>
    </row>
    <row r="27" ht="15.75" customHeight="1">
      <c r="A27" s="9"/>
      <c r="B27" s="6" t="s">
        <v>9</v>
      </c>
      <c r="F27" s="7">
        <v>1.93</v>
      </c>
      <c r="G27" s="7">
        <v>2.82</v>
      </c>
      <c r="H27" s="7">
        <v>0.0</v>
      </c>
      <c r="I27" s="7">
        <v>1.2</v>
      </c>
      <c r="J27" s="7">
        <v>3.4</v>
      </c>
      <c r="K27" s="7">
        <v>2.59</v>
      </c>
      <c r="L27" s="7">
        <v>4.5</v>
      </c>
      <c r="M27" s="7">
        <v>3.21</v>
      </c>
      <c r="N27" s="7">
        <v>4.13</v>
      </c>
      <c r="P27" s="8">
        <f t="shared" si="1"/>
        <v>23.78</v>
      </c>
    </row>
    <row r="28" ht="15.75" customHeight="1">
      <c r="A28" s="13">
        <v>46156.0</v>
      </c>
      <c r="B28" s="6" t="s">
        <v>8</v>
      </c>
      <c r="F28" s="7">
        <v>4.56</v>
      </c>
      <c r="G28" s="7">
        <v>3.8</v>
      </c>
      <c r="H28" s="7">
        <v>0.0</v>
      </c>
      <c r="I28" s="7">
        <v>1.42</v>
      </c>
      <c r="J28" s="7">
        <v>3.4</v>
      </c>
      <c r="K28" s="7">
        <v>2.66</v>
      </c>
      <c r="L28" s="7">
        <v>4.88</v>
      </c>
      <c r="M28" s="7">
        <v>3.7</v>
      </c>
      <c r="N28" s="7">
        <v>4.24</v>
      </c>
      <c r="P28" s="8">
        <f t="shared" si="1"/>
        <v>28.66</v>
      </c>
      <c r="Q28" s="8">
        <f>P28+P29</f>
        <v>52.23</v>
      </c>
    </row>
    <row r="29" ht="15.75" customHeight="1">
      <c r="A29" s="9"/>
      <c r="B29" s="6" t="s">
        <v>9</v>
      </c>
      <c r="F29" s="7">
        <v>3.3</v>
      </c>
      <c r="G29" s="7">
        <v>2.97</v>
      </c>
      <c r="H29" s="7">
        <v>0.0</v>
      </c>
      <c r="I29" s="7">
        <v>1.29</v>
      </c>
      <c r="J29" s="7">
        <v>2.81</v>
      </c>
      <c r="K29" s="7">
        <v>2.41</v>
      </c>
      <c r="L29" s="7">
        <v>4.47</v>
      </c>
      <c r="M29" s="7">
        <v>2.42</v>
      </c>
      <c r="N29" s="7">
        <v>3.9</v>
      </c>
      <c r="P29" s="8">
        <f t="shared" si="1"/>
        <v>23.57</v>
      </c>
    </row>
    <row r="30" ht="15.75" customHeight="1">
      <c r="A30" s="13">
        <v>46157.0</v>
      </c>
      <c r="B30" s="6" t="s">
        <v>8</v>
      </c>
      <c r="F30" s="7">
        <v>3.85</v>
      </c>
      <c r="G30" s="7">
        <v>3.5</v>
      </c>
      <c r="H30" s="7">
        <v>0.0</v>
      </c>
      <c r="I30" s="7">
        <v>1.22</v>
      </c>
      <c r="J30" s="7">
        <v>3.34</v>
      </c>
      <c r="K30" s="7">
        <v>1.56</v>
      </c>
      <c r="L30" s="7">
        <v>4.2</v>
      </c>
      <c r="M30" s="7">
        <v>3.57</v>
      </c>
      <c r="N30" s="7">
        <v>4.9</v>
      </c>
      <c r="P30" s="8">
        <f t="shared" si="1"/>
        <v>26.14</v>
      </c>
      <c r="Q30" s="8">
        <f>P30+P31</f>
        <v>49.03</v>
      </c>
    </row>
    <row r="31" ht="15.75" customHeight="1">
      <c r="A31" s="9"/>
      <c r="B31" s="6" t="s">
        <v>9</v>
      </c>
      <c r="F31" s="7">
        <v>2.47</v>
      </c>
      <c r="G31" s="7">
        <v>3.8</v>
      </c>
      <c r="H31" s="7">
        <v>0.0</v>
      </c>
      <c r="I31" s="7">
        <v>0.62</v>
      </c>
      <c r="J31" s="7">
        <v>2.92</v>
      </c>
      <c r="K31" s="7">
        <v>2.96</v>
      </c>
      <c r="L31" s="7">
        <v>5.0</v>
      </c>
      <c r="M31" s="7">
        <v>2.56</v>
      </c>
      <c r="N31" s="7">
        <v>2.56</v>
      </c>
      <c r="P31" s="8">
        <f t="shared" si="1"/>
        <v>22.89</v>
      </c>
    </row>
    <row r="32" ht="15.75" customHeight="1">
      <c r="A32" s="13">
        <v>46158.0</v>
      </c>
      <c r="B32" s="6" t="s">
        <v>8</v>
      </c>
      <c r="F32" s="7">
        <v>3.26</v>
      </c>
      <c r="G32" s="7">
        <v>3.13</v>
      </c>
      <c r="H32" s="7">
        <v>0.0</v>
      </c>
      <c r="I32" s="7">
        <v>1.0</v>
      </c>
      <c r="J32" s="7">
        <v>3.48</v>
      </c>
      <c r="K32" s="7">
        <v>3.4</v>
      </c>
      <c r="L32" s="7">
        <v>5.25</v>
      </c>
      <c r="M32" s="7">
        <v>2.96</v>
      </c>
      <c r="N32" s="7">
        <v>2.0</v>
      </c>
      <c r="P32" s="8">
        <f t="shared" si="1"/>
        <v>24.48</v>
      </c>
      <c r="Q32" s="8">
        <f>P32+P33</f>
        <v>48.08</v>
      </c>
    </row>
    <row r="33" ht="15.75" customHeight="1">
      <c r="A33" s="9"/>
      <c r="B33" s="6" t="s">
        <v>9</v>
      </c>
      <c r="F33" s="7">
        <v>4.11</v>
      </c>
      <c r="G33" s="7">
        <v>2.61</v>
      </c>
      <c r="H33" s="7">
        <v>0.0</v>
      </c>
      <c r="I33" s="7">
        <v>0.82</v>
      </c>
      <c r="J33" s="7">
        <v>2.79</v>
      </c>
      <c r="K33" s="7">
        <v>2.2</v>
      </c>
      <c r="L33" s="7">
        <v>4.47</v>
      </c>
      <c r="M33" s="7">
        <v>2.7</v>
      </c>
      <c r="N33" s="7">
        <v>3.9</v>
      </c>
      <c r="P33" s="8">
        <f t="shared" si="1"/>
        <v>23.6</v>
      </c>
    </row>
    <row r="34" ht="15.75" customHeight="1">
      <c r="A34" s="13">
        <v>46159.0</v>
      </c>
      <c r="B34" s="6" t="s">
        <v>8</v>
      </c>
      <c r="F34" s="7">
        <v>3.17</v>
      </c>
      <c r="G34" s="7">
        <v>3.5</v>
      </c>
      <c r="H34" s="7">
        <v>0.0</v>
      </c>
      <c r="I34" s="7">
        <v>1.54</v>
      </c>
      <c r="J34" s="7">
        <v>3.32</v>
      </c>
      <c r="K34" s="7">
        <v>3.21</v>
      </c>
      <c r="L34" s="7">
        <v>4.91</v>
      </c>
      <c r="M34" s="7">
        <v>3.4</v>
      </c>
      <c r="N34" s="7">
        <v>3.88</v>
      </c>
      <c r="P34" s="8">
        <f t="shared" si="1"/>
        <v>26.93</v>
      </c>
      <c r="Q34" s="8">
        <f>P34+P35</f>
        <v>51.7</v>
      </c>
    </row>
    <row r="35" ht="15.75" customHeight="1">
      <c r="A35" s="9"/>
      <c r="B35" s="6" t="s">
        <v>9</v>
      </c>
      <c r="F35" s="7">
        <v>3.24</v>
      </c>
      <c r="G35" s="7">
        <v>3.42</v>
      </c>
      <c r="H35" s="7">
        <v>0.0</v>
      </c>
      <c r="I35" s="7">
        <v>0.91</v>
      </c>
      <c r="J35" s="7">
        <v>2.82</v>
      </c>
      <c r="K35" s="7">
        <v>2.86</v>
      </c>
      <c r="L35" s="7">
        <v>4.92</v>
      </c>
      <c r="M35" s="7">
        <v>2.71</v>
      </c>
      <c r="N35" s="7">
        <v>3.89</v>
      </c>
      <c r="P35" s="8">
        <f t="shared" si="1"/>
        <v>24.77</v>
      </c>
    </row>
    <row r="36" ht="15.75" customHeight="1">
      <c r="A36" s="13">
        <v>46160.0</v>
      </c>
      <c r="B36" s="6" t="s">
        <v>8</v>
      </c>
      <c r="F36" s="7">
        <v>4.14</v>
      </c>
      <c r="G36" s="7">
        <v>3.7</v>
      </c>
      <c r="H36" s="7">
        <v>0.0</v>
      </c>
      <c r="I36" s="7">
        <v>1.93</v>
      </c>
      <c r="J36" s="7">
        <v>3.48</v>
      </c>
      <c r="K36" s="7">
        <v>2.55</v>
      </c>
      <c r="L36" s="7">
        <v>4.62</v>
      </c>
      <c r="M36" s="7">
        <v>2.89</v>
      </c>
      <c r="N36" s="7">
        <v>3.93</v>
      </c>
      <c r="P36" s="8">
        <f t="shared" si="1"/>
        <v>27.24</v>
      </c>
      <c r="Q36" s="8">
        <f>P36+P37</f>
        <v>53.18</v>
      </c>
    </row>
    <row r="37" ht="12.0" customHeight="1">
      <c r="A37" s="9"/>
      <c r="B37" s="6" t="s">
        <v>9</v>
      </c>
      <c r="F37" s="7">
        <v>3.16</v>
      </c>
      <c r="G37" s="7">
        <v>3.2</v>
      </c>
      <c r="H37" s="7">
        <v>1.88</v>
      </c>
      <c r="I37" s="7">
        <v>0.96</v>
      </c>
      <c r="J37" s="7">
        <v>3.21</v>
      </c>
      <c r="K37" s="7">
        <v>1.26</v>
      </c>
      <c r="L37" s="7">
        <v>4.82</v>
      </c>
      <c r="M37" s="7">
        <v>2.9</v>
      </c>
      <c r="N37" s="7">
        <v>4.55</v>
      </c>
      <c r="P37" s="8">
        <f t="shared" si="1"/>
        <v>25.94</v>
      </c>
    </row>
    <row r="38" ht="15.75" customHeight="1">
      <c r="A38" s="13">
        <v>46161.0</v>
      </c>
      <c r="B38" s="6" t="s">
        <v>8</v>
      </c>
      <c r="F38" s="7">
        <v>3.74</v>
      </c>
      <c r="G38" s="7">
        <v>2.29</v>
      </c>
      <c r="H38" s="7">
        <v>0.0</v>
      </c>
      <c r="I38" s="7">
        <v>1.36</v>
      </c>
      <c r="J38" s="7">
        <v>2.71</v>
      </c>
      <c r="K38" s="7">
        <v>4.24</v>
      </c>
      <c r="L38" s="7">
        <v>4.9</v>
      </c>
      <c r="M38" s="7">
        <v>2.61</v>
      </c>
      <c r="N38" s="7">
        <v>4.42</v>
      </c>
      <c r="P38" s="8">
        <f t="shared" si="1"/>
        <v>26.27</v>
      </c>
      <c r="Q38" s="8">
        <f>P38+P39</f>
        <v>50.09</v>
      </c>
    </row>
    <row r="39" ht="15.75" customHeight="1">
      <c r="A39" s="9"/>
      <c r="B39" s="6" t="s">
        <v>9</v>
      </c>
      <c r="F39" s="7">
        <v>3.52</v>
      </c>
      <c r="G39" s="7">
        <v>2.89</v>
      </c>
      <c r="H39" s="7">
        <v>0.0</v>
      </c>
      <c r="I39" s="7">
        <v>1.18</v>
      </c>
      <c r="J39" s="7">
        <v>2.92</v>
      </c>
      <c r="K39" s="7">
        <v>2.63</v>
      </c>
      <c r="L39" s="7">
        <v>4.79</v>
      </c>
      <c r="M39" s="7">
        <v>2.37</v>
      </c>
      <c r="N39" s="7">
        <v>3.52</v>
      </c>
      <c r="P39" s="8">
        <f t="shared" si="1"/>
        <v>23.82</v>
      </c>
    </row>
    <row r="40" ht="15.75" customHeight="1">
      <c r="A40" s="13">
        <v>46162.0</v>
      </c>
      <c r="B40" s="6" t="s">
        <v>8</v>
      </c>
      <c r="F40" s="7">
        <v>5.4</v>
      </c>
      <c r="G40" s="7">
        <v>2.95</v>
      </c>
      <c r="H40" s="7">
        <v>0.0</v>
      </c>
      <c r="I40" s="7">
        <v>2.0</v>
      </c>
      <c r="J40" s="7">
        <v>2.71</v>
      </c>
      <c r="K40" s="7">
        <v>2.66</v>
      </c>
      <c r="L40" s="7">
        <v>5.36</v>
      </c>
      <c r="M40" s="7">
        <v>2.69</v>
      </c>
      <c r="N40" s="7">
        <v>3.3</v>
      </c>
      <c r="P40" s="8">
        <f t="shared" si="1"/>
        <v>27.07</v>
      </c>
      <c r="Q40" s="8">
        <f>P40+P41</f>
        <v>51.86</v>
      </c>
    </row>
    <row r="41" ht="15.75" customHeight="1">
      <c r="A41" s="9"/>
      <c r="B41" s="6" t="s">
        <v>9</v>
      </c>
      <c r="F41" s="7">
        <v>0.0</v>
      </c>
      <c r="G41" s="7">
        <v>2.36</v>
      </c>
      <c r="H41" s="7">
        <v>0.0</v>
      </c>
      <c r="I41" s="7">
        <v>0.91</v>
      </c>
      <c r="J41" s="7">
        <v>3.9</v>
      </c>
      <c r="K41" s="7">
        <v>3.8</v>
      </c>
      <c r="L41" s="7">
        <v>5.6</v>
      </c>
      <c r="M41" s="7">
        <v>2.82</v>
      </c>
      <c r="N41" s="7">
        <v>5.4</v>
      </c>
      <c r="P41" s="8">
        <f t="shared" si="1"/>
        <v>24.79</v>
      </c>
    </row>
    <row r="42" ht="15.75" customHeight="1">
      <c r="A42" s="13">
        <v>46163.0</v>
      </c>
      <c r="B42" s="6" t="s">
        <v>8</v>
      </c>
      <c r="F42" s="7">
        <v>0.0</v>
      </c>
      <c r="G42" s="7">
        <v>2.1</v>
      </c>
      <c r="H42" s="7">
        <v>0.0</v>
      </c>
      <c r="I42" s="7">
        <v>1.36</v>
      </c>
      <c r="J42" s="7">
        <v>2.81</v>
      </c>
      <c r="K42" s="7">
        <v>2.78</v>
      </c>
      <c r="L42" s="7">
        <v>4.3</v>
      </c>
      <c r="M42" s="7">
        <v>2.65</v>
      </c>
      <c r="N42" s="7">
        <v>4.33</v>
      </c>
      <c r="P42" s="8">
        <f t="shared" si="1"/>
        <v>20.33</v>
      </c>
      <c r="Q42" s="8">
        <f>P42+P43</f>
        <v>43</v>
      </c>
    </row>
    <row r="43" ht="15.75" customHeight="1">
      <c r="A43" s="9"/>
      <c r="B43" s="6" t="s">
        <v>9</v>
      </c>
      <c r="F43" s="7">
        <v>0.0</v>
      </c>
      <c r="G43" s="7">
        <v>2.2</v>
      </c>
      <c r="H43" s="7">
        <v>0.0</v>
      </c>
      <c r="I43" s="7">
        <v>2.72</v>
      </c>
      <c r="J43" s="7">
        <v>2.5</v>
      </c>
      <c r="K43" s="7">
        <v>2.85</v>
      </c>
      <c r="L43" s="7">
        <v>5.0</v>
      </c>
      <c r="M43" s="7">
        <v>3.4</v>
      </c>
      <c r="N43" s="7">
        <v>4.0</v>
      </c>
      <c r="P43" s="8">
        <f t="shared" si="1"/>
        <v>22.67</v>
      </c>
    </row>
    <row r="44" ht="15.75" customHeight="1">
      <c r="A44" s="13">
        <v>46164.0</v>
      </c>
      <c r="B44" s="6" t="s">
        <v>8</v>
      </c>
      <c r="F44" s="7">
        <v>0.0</v>
      </c>
      <c r="G44" s="7">
        <v>2.2</v>
      </c>
      <c r="H44" s="7">
        <v>0.0</v>
      </c>
      <c r="I44" s="7">
        <v>0.62</v>
      </c>
      <c r="J44" s="7">
        <v>3.0</v>
      </c>
      <c r="K44" s="7">
        <v>3.03</v>
      </c>
      <c r="L44" s="7">
        <v>5.0</v>
      </c>
      <c r="M44" s="7">
        <v>3.22</v>
      </c>
      <c r="N44" s="7">
        <v>4.1</v>
      </c>
      <c r="P44" s="8">
        <f t="shared" si="1"/>
        <v>21.17</v>
      </c>
      <c r="Q44" s="8">
        <f>P44+P45</f>
        <v>42.5</v>
      </c>
    </row>
    <row r="45" ht="15.75" customHeight="1">
      <c r="A45" s="9"/>
      <c r="B45" s="6" t="s">
        <v>9</v>
      </c>
      <c r="F45" s="7">
        <v>1.07</v>
      </c>
      <c r="G45" s="7">
        <v>2.0</v>
      </c>
      <c r="H45" s="7">
        <v>0.0</v>
      </c>
      <c r="I45" s="7">
        <v>2.14</v>
      </c>
      <c r="J45" s="7">
        <v>2.38</v>
      </c>
      <c r="K45" s="7">
        <v>2.84</v>
      </c>
      <c r="L45" s="7">
        <v>4.0</v>
      </c>
      <c r="M45" s="7">
        <v>2.8</v>
      </c>
      <c r="N45" s="7">
        <v>4.1</v>
      </c>
      <c r="P45" s="8">
        <f t="shared" si="1"/>
        <v>21.33</v>
      </c>
    </row>
    <row r="46" ht="15.75" customHeight="1">
      <c r="A46" s="13">
        <v>46164.0</v>
      </c>
      <c r="B46" s="6" t="s">
        <v>8</v>
      </c>
      <c r="F46" s="7">
        <v>1.69</v>
      </c>
      <c r="G46" s="7">
        <v>1.91</v>
      </c>
      <c r="H46" s="7">
        <v>0.0</v>
      </c>
      <c r="I46" s="7">
        <v>2.0</v>
      </c>
      <c r="J46" s="7">
        <v>3.01</v>
      </c>
      <c r="K46" s="7">
        <v>2.9</v>
      </c>
      <c r="L46" s="7">
        <v>4.9</v>
      </c>
      <c r="M46" s="7">
        <v>2.5</v>
      </c>
      <c r="N46" s="7">
        <v>4.9</v>
      </c>
      <c r="P46" s="8">
        <f t="shared" si="1"/>
        <v>23.81</v>
      </c>
      <c r="Q46" s="8">
        <f>P46+P47</f>
        <v>43.58</v>
      </c>
    </row>
    <row r="47" ht="15.75" customHeight="1">
      <c r="A47" s="9"/>
      <c r="B47" s="6" t="s">
        <v>9</v>
      </c>
      <c r="F47" s="7">
        <v>1.58</v>
      </c>
      <c r="G47" s="7">
        <v>2.4</v>
      </c>
      <c r="H47" s="7">
        <v>0.0</v>
      </c>
      <c r="I47" s="7">
        <v>0.0</v>
      </c>
      <c r="J47" s="7">
        <v>2.71</v>
      </c>
      <c r="K47" s="7">
        <v>2.69</v>
      </c>
      <c r="L47" s="7">
        <v>4.63</v>
      </c>
      <c r="M47" s="7">
        <v>2.98</v>
      </c>
      <c r="N47" s="7">
        <v>2.78</v>
      </c>
      <c r="P47" s="8">
        <f t="shared" si="1"/>
        <v>19.77</v>
      </c>
    </row>
    <row r="48" ht="15.75" customHeight="1">
      <c r="A48" s="13">
        <v>46166.0</v>
      </c>
      <c r="B48" s="6" t="s">
        <v>8</v>
      </c>
      <c r="F48" s="7">
        <v>2.0</v>
      </c>
      <c r="G48" s="7">
        <v>1.57</v>
      </c>
      <c r="H48" s="7">
        <v>0.0</v>
      </c>
      <c r="I48" s="7">
        <v>1.3</v>
      </c>
      <c r="J48" s="7">
        <v>3.03</v>
      </c>
      <c r="K48" s="7">
        <v>2.92</v>
      </c>
      <c r="L48" s="7">
        <v>4.4</v>
      </c>
      <c r="M48" s="7">
        <v>3.13</v>
      </c>
      <c r="N48" s="7">
        <v>3.77</v>
      </c>
      <c r="P48" s="8">
        <f t="shared" si="1"/>
        <v>22.12</v>
      </c>
      <c r="Q48" s="8">
        <f>P48+P49</f>
        <v>41.95</v>
      </c>
    </row>
    <row r="49" ht="15.75" customHeight="1">
      <c r="A49" s="9"/>
      <c r="B49" s="6" t="s">
        <v>9</v>
      </c>
      <c r="F49" s="7">
        <v>2.05</v>
      </c>
      <c r="G49" s="7" t="s">
        <v>52</v>
      </c>
      <c r="H49" s="7">
        <v>0.0</v>
      </c>
      <c r="I49" s="7">
        <v>0.0</v>
      </c>
      <c r="J49" s="7">
        <v>2.98</v>
      </c>
      <c r="K49" s="7">
        <v>2.63</v>
      </c>
      <c r="L49" s="7">
        <v>4.87</v>
      </c>
      <c r="M49" s="7">
        <v>2.95</v>
      </c>
      <c r="N49" s="7">
        <v>4.35</v>
      </c>
      <c r="P49" s="8">
        <f t="shared" si="1"/>
        <v>19.83</v>
      </c>
    </row>
    <row r="50" ht="15.75" customHeight="1">
      <c r="A50" s="13">
        <v>46167.0</v>
      </c>
      <c r="B50" s="15" t="s">
        <v>8</v>
      </c>
      <c r="F50" s="7">
        <v>2.33</v>
      </c>
      <c r="G50" s="7">
        <v>2.26</v>
      </c>
      <c r="H50" s="7">
        <v>0.0</v>
      </c>
      <c r="I50" s="7">
        <v>1.93</v>
      </c>
      <c r="J50" s="7">
        <v>2.75</v>
      </c>
      <c r="K50" s="7">
        <v>3.0</v>
      </c>
      <c r="L50" s="7">
        <v>3.71</v>
      </c>
      <c r="M50" s="7">
        <v>2.26</v>
      </c>
      <c r="N50" s="7">
        <v>4.12</v>
      </c>
      <c r="P50" s="8">
        <f t="shared" si="1"/>
        <v>22.36</v>
      </c>
      <c r="Q50" s="8">
        <f>P50+P51</f>
        <v>42.427</v>
      </c>
    </row>
    <row r="51" ht="15.75" customHeight="1">
      <c r="A51" s="9"/>
      <c r="B51" s="6" t="s">
        <v>9</v>
      </c>
      <c r="F51" s="7">
        <v>2.42</v>
      </c>
      <c r="G51" s="7">
        <v>1.58</v>
      </c>
      <c r="H51" s="7">
        <v>0.0</v>
      </c>
      <c r="I51" s="7">
        <v>0.9</v>
      </c>
      <c r="J51" s="7">
        <v>2.46</v>
      </c>
      <c r="K51" s="7">
        <v>2.8</v>
      </c>
      <c r="L51" s="7">
        <v>4.31</v>
      </c>
      <c r="M51" s="7">
        <v>1.58</v>
      </c>
      <c r="N51" s="7">
        <v>4.017</v>
      </c>
      <c r="P51" s="8">
        <f t="shared" si="1"/>
        <v>20.067</v>
      </c>
    </row>
    <row r="52" ht="15.75" customHeight="1">
      <c r="A52" s="13">
        <v>46168.0</v>
      </c>
      <c r="B52" s="6" t="s">
        <v>8</v>
      </c>
      <c r="F52" s="7">
        <v>2.28</v>
      </c>
      <c r="G52" s="7">
        <v>2.0</v>
      </c>
      <c r="H52" s="7">
        <v>0.0</v>
      </c>
      <c r="I52" s="7">
        <v>1.9</v>
      </c>
      <c r="J52" s="7">
        <v>1.85</v>
      </c>
      <c r="K52" s="7">
        <v>2.68</v>
      </c>
      <c r="L52" s="7">
        <v>3.6</v>
      </c>
      <c r="M52" s="7">
        <v>2.0</v>
      </c>
      <c r="N52" s="7">
        <v>3.99</v>
      </c>
      <c r="P52" s="8">
        <f t="shared" si="1"/>
        <v>20.3</v>
      </c>
      <c r="Q52" s="8">
        <f>P52+P53</f>
        <v>43.97</v>
      </c>
    </row>
    <row r="53" ht="15.75" customHeight="1">
      <c r="A53" s="9"/>
      <c r="B53" s="6" t="s">
        <v>9</v>
      </c>
      <c r="F53" s="7">
        <v>2.4</v>
      </c>
      <c r="G53" s="7">
        <v>2.48</v>
      </c>
      <c r="H53" s="7">
        <v>0.0</v>
      </c>
      <c r="I53" s="7">
        <v>1.23</v>
      </c>
      <c r="J53" s="7">
        <v>2.4</v>
      </c>
      <c r="K53" s="7">
        <v>2.4</v>
      </c>
      <c r="L53" s="7">
        <v>5.5</v>
      </c>
      <c r="M53" s="7">
        <v>2.48</v>
      </c>
      <c r="N53" s="7">
        <v>4.78</v>
      </c>
      <c r="P53" s="8">
        <f t="shared" si="1"/>
        <v>23.67</v>
      </c>
    </row>
    <row r="54" ht="15.75" customHeight="1">
      <c r="A54" s="13">
        <v>46169.0</v>
      </c>
      <c r="B54" s="6" t="s">
        <v>8</v>
      </c>
      <c r="F54" s="7">
        <v>2.38</v>
      </c>
      <c r="G54" s="7">
        <v>2.32</v>
      </c>
      <c r="H54" s="7">
        <v>0.0</v>
      </c>
      <c r="I54" s="7">
        <v>2.09</v>
      </c>
      <c r="J54" s="7">
        <v>2.64</v>
      </c>
      <c r="K54" s="7">
        <v>2.84</v>
      </c>
      <c r="L54" s="7">
        <v>4.9</v>
      </c>
      <c r="M54" s="7">
        <v>2.29</v>
      </c>
      <c r="N54" s="7">
        <v>3.84</v>
      </c>
      <c r="P54" s="8">
        <f t="shared" si="1"/>
        <v>23.3</v>
      </c>
      <c r="Q54" s="8">
        <f>P54+P55</f>
        <v>46.43</v>
      </c>
    </row>
    <row r="55" ht="15.75" customHeight="1">
      <c r="A55" s="9"/>
      <c r="B55" s="6" t="s">
        <v>9</v>
      </c>
      <c r="F55" s="7">
        <v>2.45</v>
      </c>
      <c r="G55" s="7">
        <v>2.21</v>
      </c>
      <c r="H55" s="7">
        <v>0.0</v>
      </c>
      <c r="I55" s="7">
        <v>1.13</v>
      </c>
      <c r="J55" s="7">
        <v>2.83</v>
      </c>
      <c r="K55" s="7">
        <v>2.95</v>
      </c>
      <c r="L55" s="7">
        <v>4.64</v>
      </c>
      <c r="M55" s="7">
        <v>3.05</v>
      </c>
      <c r="N55" s="7">
        <v>3.87</v>
      </c>
      <c r="P55" s="8">
        <f t="shared" si="1"/>
        <v>23.13</v>
      </c>
    </row>
    <row r="56" ht="15.75" customHeight="1">
      <c r="A56" s="13">
        <v>46170.0</v>
      </c>
      <c r="B56" s="6" t="s">
        <v>8</v>
      </c>
      <c r="F56" s="7">
        <v>2.74</v>
      </c>
      <c r="G56" s="7">
        <v>2.48</v>
      </c>
      <c r="H56" s="7">
        <v>0.0</v>
      </c>
      <c r="I56" s="7">
        <v>1.58</v>
      </c>
      <c r="J56" s="7">
        <v>2.73</v>
      </c>
      <c r="K56" s="7">
        <v>2.9</v>
      </c>
      <c r="L56" s="7">
        <v>3.85</v>
      </c>
      <c r="M56" s="7">
        <v>3.01</v>
      </c>
      <c r="N56" s="7">
        <v>4.41</v>
      </c>
      <c r="P56" s="8">
        <f t="shared" si="1"/>
        <v>23.7</v>
      </c>
      <c r="Q56" s="8">
        <f>P56+P57</f>
        <v>48.39</v>
      </c>
    </row>
    <row r="57" ht="15.75" customHeight="1">
      <c r="A57" s="9"/>
      <c r="B57" s="6" t="s">
        <v>9</v>
      </c>
      <c r="F57" s="7">
        <v>2.84</v>
      </c>
      <c r="G57" s="7">
        <v>2.81</v>
      </c>
      <c r="H57" s="7">
        <v>0.0</v>
      </c>
      <c r="I57" s="7">
        <v>1.5</v>
      </c>
      <c r="J57" s="7">
        <v>3.05</v>
      </c>
      <c r="K57" s="7">
        <v>1.24</v>
      </c>
      <c r="L57" s="7">
        <v>5.29</v>
      </c>
      <c r="M57" s="7">
        <v>3.41</v>
      </c>
      <c r="N57" s="7">
        <v>4.55</v>
      </c>
      <c r="P57" s="8">
        <f>SUM(C57:O57)</f>
        <v>24.69</v>
      </c>
    </row>
    <row r="58" ht="15.75" customHeight="1">
      <c r="A58" s="13">
        <v>46171.0</v>
      </c>
      <c r="B58" s="6" t="s">
        <v>8</v>
      </c>
      <c r="F58" s="7">
        <v>2.66</v>
      </c>
      <c r="G58" s="7">
        <v>2.88</v>
      </c>
      <c r="H58" s="7">
        <v>0.0</v>
      </c>
      <c r="I58" s="7">
        <v>1.3</v>
      </c>
      <c r="J58" s="7">
        <v>2.34</v>
      </c>
      <c r="K58" s="7">
        <v>3.0</v>
      </c>
      <c r="L58" s="7">
        <v>3.93</v>
      </c>
      <c r="M58" s="7">
        <v>3.17</v>
      </c>
      <c r="N58" s="7">
        <v>4.32</v>
      </c>
      <c r="P58" s="8">
        <f t="shared" ref="P58:P64" si="2">SUM(C58:N58)</f>
        <v>23.6</v>
      </c>
      <c r="Q58" s="8">
        <f>P58+P59</f>
        <v>46.85</v>
      </c>
    </row>
    <row r="59" ht="15.75" customHeight="1">
      <c r="A59" s="9"/>
      <c r="B59" s="6" t="s">
        <v>9</v>
      </c>
      <c r="F59" s="7">
        <v>3.02</v>
      </c>
      <c r="G59" s="7">
        <v>2.83</v>
      </c>
      <c r="H59" s="7">
        <v>0.0</v>
      </c>
      <c r="I59" s="7">
        <v>1.02</v>
      </c>
      <c r="J59" s="7">
        <v>2.48</v>
      </c>
      <c r="K59" s="7">
        <v>3.21</v>
      </c>
      <c r="L59" s="7">
        <v>4.36</v>
      </c>
      <c r="M59" s="7">
        <v>2.13</v>
      </c>
      <c r="N59" s="7">
        <v>4.2</v>
      </c>
      <c r="P59" s="8">
        <f t="shared" si="2"/>
        <v>23.25</v>
      </c>
    </row>
    <row r="60" ht="15.75" customHeight="1">
      <c r="A60" s="13">
        <v>46172.0</v>
      </c>
      <c r="B60" s="6" t="s">
        <v>8</v>
      </c>
      <c r="F60" s="7">
        <v>2.63</v>
      </c>
      <c r="G60" s="7">
        <v>3.09</v>
      </c>
      <c r="H60" s="7">
        <v>0.0</v>
      </c>
      <c r="I60" s="7">
        <v>1.55</v>
      </c>
      <c r="J60" s="7">
        <v>2.35</v>
      </c>
      <c r="K60" s="7">
        <v>2.8</v>
      </c>
      <c r="L60" s="7">
        <v>4.22</v>
      </c>
      <c r="M60" s="7">
        <v>2.27</v>
      </c>
      <c r="N60" s="7">
        <v>4.41</v>
      </c>
      <c r="P60" s="8">
        <f t="shared" si="2"/>
        <v>23.32</v>
      </c>
      <c r="Q60" s="8">
        <f>P60+P61</f>
        <v>49.95</v>
      </c>
    </row>
    <row r="61" ht="15.75" customHeight="1">
      <c r="A61" s="9"/>
      <c r="B61" s="6" t="s">
        <v>9</v>
      </c>
      <c r="F61" s="7">
        <v>3.07</v>
      </c>
      <c r="G61" s="7">
        <v>3.3</v>
      </c>
      <c r="H61" s="7">
        <v>0.0</v>
      </c>
      <c r="I61" s="7">
        <v>1.5</v>
      </c>
      <c r="J61" s="7">
        <v>2.69</v>
      </c>
      <c r="K61" s="7">
        <v>2.9</v>
      </c>
      <c r="L61" s="7">
        <v>4.85</v>
      </c>
      <c r="M61" s="7">
        <v>3.72</v>
      </c>
      <c r="N61" s="7">
        <v>4.6</v>
      </c>
      <c r="P61" s="8">
        <f t="shared" si="2"/>
        <v>26.63</v>
      </c>
    </row>
    <row r="62" ht="15.75" customHeight="1">
      <c r="A62" s="13">
        <v>46173.0</v>
      </c>
      <c r="B62" s="6" t="s">
        <v>8</v>
      </c>
      <c r="F62" s="7">
        <v>2.73</v>
      </c>
      <c r="G62" s="7">
        <v>3.22</v>
      </c>
      <c r="H62" s="7">
        <v>0.0</v>
      </c>
      <c r="I62" s="7">
        <v>1.15</v>
      </c>
      <c r="J62" s="7">
        <v>2.47</v>
      </c>
      <c r="K62" s="7">
        <v>2.98</v>
      </c>
      <c r="L62" s="7">
        <v>3.95</v>
      </c>
      <c r="M62" s="7">
        <v>3.0</v>
      </c>
      <c r="N62" s="7">
        <v>4.27</v>
      </c>
      <c r="P62" s="8">
        <f t="shared" si="2"/>
        <v>23.77</v>
      </c>
      <c r="Q62" s="8">
        <f>P62+P63</f>
        <v>49.43</v>
      </c>
    </row>
    <row r="63" ht="15.75" customHeight="1">
      <c r="A63" s="9"/>
      <c r="B63" s="6" t="s">
        <v>9</v>
      </c>
      <c r="F63" s="7">
        <v>2.58</v>
      </c>
      <c r="G63" s="7">
        <v>3.4</v>
      </c>
      <c r="H63" s="7">
        <v>0.0</v>
      </c>
      <c r="I63" s="7">
        <v>1.56</v>
      </c>
      <c r="J63" s="7">
        <v>2.71</v>
      </c>
      <c r="K63" s="7">
        <v>3.0</v>
      </c>
      <c r="L63" s="7">
        <v>4.9</v>
      </c>
      <c r="M63" s="7">
        <v>3.28</v>
      </c>
      <c r="N63" s="7">
        <v>4.23</v>
      </c>
      <c r="O63" s="7"/>
      <c r="P63" s="8">
        <f t="shared" si="2"/>
        <v>25.66</v>
      </c>
    </row>
    <row r="64" ht="15.75" customHeight="1">
      <c r="A64" s="14"/>
      <c r="P64" s="8">
        <f t="shared" si="2"/>
        <v>0</v>
      </c>
    </row>
    <row r="65" ht="15.75" customHeight="1"/>
    <row r="66" ht="15.75" customHeight="1">
      <c r="A66" s="14"/>
    </row>
    <row r="67" ht="15.75" customHeight="1"/>
    <row r="68" ht="15.75" customHeight="1"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15.75" customHeight="1"/>
    <row r="70" ht="15.75" customHeight="1">
      <c r="A70" s="10"/>
    </row>
    <row r="71" ht="15.75" customHeight="1"/>
    <row r="72" ht="15.75" customHeight="1">
      <c r="A72" s="10"/>
    </row>
    <row r="73" ht="15.75" customHeight="1"/>
    <row r="74" ht="15.75" customHeight="1">
      <c r="A74" s="10"/>
    </row>
    <row r="75" ht="15.75" customHeight="1"/>
    <row r="76" ht="15.75" customHeight="1">
      <c r="A76" s="10"/>
    </row>
    <row r="77" ht="15.75" customHeight="1"/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  <c r="K103" s="7" t="s">
        <v>33</v>
      </c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72:A73"/>
    <mergeCell ref="A74:A75"/>
    <mergeCell ref="A76:A77"/>
    <mergeCell ref="A58:A59"/>
    <mergeCell ref="A60:A61"/>
    <mergeCell ref="A62:A63"/>
    <mergeCell ref="A64:A65"/>
    <mergeCell ref="A66:A67"/>
    <mergeCell ref="A68:A69"/>
    <mergeCell ref="A70:A7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34</v>
      </c>
      <c r="B1" s="8" t="s">
        <v>35</v>
      </c>
    </row>
    <row r="2">
      <c r="A2" s="19" t="s">
        <v>36</v>
      </c>
      <c r="B2" s="20">
        <f>Sum(B3:B13)</f>
        <v>1245.68</v>
      </c>
    </row>
    <row r="4">
      <c r="A4" s="7" t="s">
        <v>2</v>
      </c>
      <c r="B4" s="8">
        <f>sum('April 2026'!C2:C63)</f>
        <v>0</v>
      </c>
    </row>
    <row r="5">
      <c r="A5" s="7" t="s">
        <v>3</v>
      </c>
      <c r="B5" s="8">
        <f>sum('April 2026'!D2:D63)</f>
        <v>0</v>
      </c>
    </row>
    <row r="6">
      <c r="A6" s="7" t="s">
        <v>4</v>
      </c>
      <c r="B6" s="8">
        <f>sum('April 2026'!E2:E63)</f>
        <v>0</v>
      </c>
    </row>
    <row r="7">
      <c r="A7" s="7" t="s">
        <v>5</v>
      </c>
      <c r="B7" s="8">
        <f>sum('April 2026'!F2:F63)</f>
        <v>215.56</v>
      </c>
    </row>
    <row r="8">
      <c r="A8" s="7" t="s">
        <v>11</v>
      </c>
      <c r="B8" s="8">
        <f>sum('April 2026'!G2:G63)</f>
        <v>183.76</v>
      </c>
    </row>
    <row r="9">
      <c r="A9" s="7" t="s">
        <v>12</v>
      </c>
      <c r="B9" s="8">
        <f>sum('April 2026'!H2:H63)</f>
        <v>74.93</v>
      </c>
    </row>
    <row r="10">
      <c r="A10" s="7" t="s">
        <v>13</v>
      </c>
      <c r="B10" s="8">
        <f>sum('April 2026'!I2:I63)</f>
        <v>141.76</v>
      </c>
    </row>
    <row r="11">
      <c r="A11" s="7" t="s">
        <v>14</v>
      </c>
      <c r="B11" s="8">
        <f>sum('April 2026'!J2:J63)</f>
        <v>194.3</v>
      </c>
    </row>
    <row r="12">
      <c r="A12" s="7" t="s">
        <v>15</v>
      </c>
      <c r="B12" s="8">
        <f>sum('April 2026'!K2:K63)</f>
        <v>181.79</v>
      </c>
    </row>
    <row r="13">
      <c r="A13" s="7" t="s">
        <v>16</v>
      </c>
      <c r="B13" s="8">
        <f>sum('April 2026'!L2:L63)</f>
        <v>253.58</v>
      </c>
    </row>
    <row r="14">
      <c r="A14" s="7" t="s">
        <v>53</v>
      </c>
    </row>
    <row r="15">
      <c r="A15" s="7" t="s">
        <v>18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32" t="s">
        <v>0</v>
      </c>
      <c r="B1" s="33" t="s">
        <v>8</v>
      </c>
      <c r="C1" s="33" t="s">
        <v>9</v>
      </c>
      <c r="D1" s="33" t="s">
        <v>54</v>
      </c>
      <c r="E1" s="33" t="s">
        <v>36</v>
      </c>
      <c r="F1" s="33" t="s">
        <v>55</v>
      </c>
      <c r="G1" s="33" t="s">
        <v>56</v>
      </c>
      <c r="H1" s="33" t="s">
        <v>57</v>
      </c>
      <c r="I1" s="33" t="s">
        <v>58</v>
      </c>
      <c r="J1" s="33" t="s">
        <v>59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>
      <c r="A2" s="34">
        <v>46207.0</v>
      </c>
      <c r="B2" s="35">
        <v>23.5</v>
      </c>
      <c r="C2" s="35">
        <v>19.0</v>
      </c>
      <c r="D2" s="35">
        <v>0.0</v>
      </c>
      <c r="E2" s="36">
        <f t="shared" ref="E2:E40" si="1">sum(B2:D2)</f>
        <v>42.5</v>
      </c>
      <c r="F2" s="35">
        <v>36.47</v>
      </c>
      <c r="G2" s="35">
        <v>4.7</v>
      </c>
      <c r="H2" s="35">
        <v>0.5</v>
      </c>
      <c r="I2" s="35">
        <v>0.5</v>
      </c>
      <c r="J2" s="36">
        <f t="shared" ref="J2:J40" si="2">E2-F2-G2-H2-I2</f>
        <v>0.33</v>
      </c>
      <c r="L2" s="7" t="s">
        <v>60</v>
      </c>
      <c r="M2" s="7" t="s">
        <v>61</v>
      </c>
    </row>
    <row r="3">
      <c r="A3" s="34">
        <v>46238.0</v>
      </c>
      <c r="B3" s="35">
        <v>24.5</v>
      </c>
      <c r="C3" s="35">
        <v>20.0</v>
      </c>
      <c r="D3" s="36"/>
      <c r="E3" s="36">
        <f t="shared" si="1"/>
        <v>44.5</v>
      </c>
      <c r="F3" s="35">
        <v>35.47</v>
      </c>
      <c r="G3" s="35">
        <v>5.65</v>
      </c>
      <c r="H3" s="35">
        <v>0.5</v>
      </c>
      <c r="I3" s="35">
        <v>1.0</v>
      </c>
      <c r="J3" s="36">
        <f t="shared" si="2"/>
        <v>1.88</v>
      </c>
    </row>
    <row r="4">
      <c r="A4" s="34">
        <v>46269.0</v>
      </c>
      <c r="B4" s="35">
        <v>24.5</v>
      </c>
      <c r="C4" s="35">
        <v>19.4</v>
      </c>
      <c r="D4" s="35">
        <v>1.88</v>
      </c>
      <c r="E4" s="36">
        <f t="shared" si="1"/>
        <v>45.78</v>
      </c>
      <c r="F4" s="35">
        <v>36.47</v>
      </c>
      <c r="G4" s="35">
        <v>6.19</v>
      </c>
      <c r="H4" s="35">
        <v>0.5</v>
      </c>
      <c r="I4" s="35">
        <v>0.5</v>
      </c>
      <c r="J4" s="36">
        <f t="shared" si="2"/>
        <v>2.12</v>
      </c>
    </row>
    <row r="5">
      <c r="A5" s="34">
        <v>46299.0</v>
      </c>
      <c r="B5" s="35">
        <v>23.4</v>
      </c>
      <c r="C5" s="35">
        <v>21.9</v>
      </c>
      <c r="D5" s="35">
        <v>2.12</v>
      </c>
      <c r="E5" s="36">
        <f t="shared" si="1"/>
        <v>47.42</v>
      </c>
      <c r="F5" s="35">
        <v>36.5</v>
      </c>
      <c r="G5" s="35">
        <v>2.0</v>
      </c>
      <c r="H5" s="35">
        <v>0.5</v>
      </c>
      <c r="I5" s="35">
        <v>0.5</v>
      </c>
      <c r="J5" s="36">
        <f t="shared" si="2"/>
        <v>7.92</v>
      </c>
    </row>
    <row r="6">
      <c r="A6" s="34">
        <v>46330.0</v>
      </c>
      <c r="B6" s="35">
        <v>29.5</v>
      </c>
      <c r="C6" s="35">
        <v>24.7</v>
      </c>
      <c r="D6" s="35"/>
      <c r="E6" s="36">
        <f t="shared" si="1"/>
        <v>54.2</v>
      </c>
      <c r="F6" s="35">
        <v>38.75</v>
      </c>
      <c r="G6" s="35">
        <v>6.53</v>
      </c>
      <c r="H6" s="35">
        <v>0.5</v>
      </c>
      <c r="I6" s="35">
        <v>0.5</v>
      </c>
      <c r="J6" s="36">
        <f t="shared" si="2"/>
        <v>7.92</v>
      </c>
    </row>
    <row r="7">
      <c r="A7" s="34">
        <v>46360.0</v>
      </c>
      <c r="B7" s="35">
        <v>29.5</v>
      </c>
      <c r="C7" s="35">
        <v>22.0</v>
      </c>
      <c r="D7" s="35"/>
      <c r="E7" s="36">
        <f t="shared" si="1"/>
        <v>51.5</v>
      </c>
      <c r="F7" s="35">
        <v>36.75</v>
      </c>
      <c r="G7" s="35">
        <v>6.64</v>
      </c>
      <c r="H7" s="35">
        <v>0.5</v>
      </c>
      <c r="I7" s="35">
        <v>0.5</v>
      </c>
      <c r="J7" s="36">
        <f t="shared" si="2"/>
        <v>7.11</v>
      </c>
    </row>
    <row r="8">
      <c r="A8" s="37" t="s">
        <v>62</v>
      </c>
      <c r="B8" s="35">
        <v>28.0</v>
      </c>
      <c r="C8" s="35">
        <v>17.7</v>
      </c>
      <c r="D8" s="35">
        <v>5.78</v>
      </c>
      <c r="E8" s="36">
        <f t="shared" si="1"/>
        <v>51.48</v>
      </c>
      <c r="F8" s="35">
        <v>36.22</v>
      </c>
      <c r="G8" s="35">
        <v>2.7</v>
      </c>
      <c r="H8" s="35">
        <v>0.5</v>
      </c>
      <c r="I8" s="35">
        <v>0.5</v>
      </c>
      <c r="J8" s="36">
        <f t="shared" si="2"/>
        <v>11.56</v>
      </c>
    </row>
    <row r="9">
      <c r="A9" s="37" t="s">
        <v>63</v>
      </c>
      <c r="B9" s="35">
        <v>21.5</v>
      </c>
      <c r="C9" s="35">
        <v>23.5</v>
      </c>
      <c r="D9" s="36"/>
      <c r="E9" s="36">
        <f t="shared" si="1"/>
        <v>45</v>
      </c>
      <c r="F9" s="35">
        <v>39.22</v>
      </c>
      <c r="G9" s="35">
        <v>8.0</v>
      </c>
      <c r="H9" s="35">
        <v>0.5</v>
      </c>
      <c r="I9" s="35">
        <v>0.5</v>
      </c>
      <c r="J9" s="36">
        <f t="shared" si="2"/>
        <v>-3.22</v>
      </c>
    </row>
    <row r="10">
      <c r="A10" s="37" t="s">
        <v>64</v>
      </c>
      <c r="B10" s="35">
        <v>22.0</v>
      </c>
      <c r="C10" s="35">
        <v>29.0</v>
      </c>
      <c r="D10" s="36"/>
      <c r="E10" s="36">
        <f t="shared" si="1"/>
        <v>51</v>
      </c>
      <c r="F10" s="35">
        <v>38.97</v>
      </c>
      <c r="G10" s="35">
        <v>7.5</v>
      </c>
      <c r="H10" s="35">
        <v>0.5</v>
      </c>
      <c r="I10" s="35">
        <v>0.5</v>
      </c>
      <c r="J10" s="36">
        <f t="shared" si="2"/>
        <v>3.53</v>
      </c>
      <c r="P10" s="38">
        <v>2623.0</v>
      </c>
      <c r="Q10" s="38">
        <v>2711.0</v>
      </c>
      <c r="R10" s="38">
        <v>2431.0</v>
      </c>
      <c r="S10" s="38">
        <v>2694.0</v>
      </c>
      <c r="T10" s="38">
        <v>2274.0</v>
      </c>
      <c r="U10" s="38">
        <v>2536.0</v>
      </c>
      <c r="V10" s="38">
        <v>2483.0</v>
      </c>
      <c r="W10" s="38">
        <v>2518.0</v>
      </c>
    </row>
    <row r="11">
      <c r="A11" s="37" t="s">
        <v>65</v>
      </c>
      <c r="B11" s="35">
        <v>23.9</v>
      </c>
      <c r="C11" s="35">
        <v>24.9</v>
      </c>
      <c r="D11" s="36"/>
      <c r="E11" s="36">
        <f t="shared" si="1"/>
        <v>48.8</v>
      </c>
      <c r="F11" s="35">
        <v>37.97</v>
      </c>
      <c r="G11" s="35">
        <v>12.4</v>
      </c>
      <c r="H11" s="35">
        <v>0.5</v>
      </c>
      <c r="I11" s="35">
        <v>1.0</v>
      </c>
      <c r="J11" s="36">
        <f t="shared" si="2"/>
        <v>-3.07</v>
      </c>
      <c r="M11" s="7">
        <v>365.0</v>
      </c>
      <c r="P11" s="38">
        <v>1.0</v>
      </c>
      <c r="Q11" s="38">
        <v>2.0</v>
      </c>
      <c r="R11" s="38">
        <v>3.0</v>
      </c>
      <c r="S11" s="38">
        <v>4.0</v>
      </c>
      <c r="T11" s="38">
        <v>5.0</v>
      </c>
      <c r="U11" s="38">
        <v>6.0</v>
      </c>
      <c r="V11" s="38">
        <v>7.0</v>
      </c>
      <c r="W11" s="38">
        <v>8.0</v>
      </c>
    </row>
    <row r="12">
      <c r="A12" s="37" t="s">
        <v>66</v>
      </c>
      <c r="B12" s="35">
        <v>27.2</v>
      </c>
      <c r="C12" s="35">
        <v>24.92</v>
      </c>
      <c r="D12" s="36"/>
      <c r="E12" s="36">
        <f t="shared" si="1"/>
        <v>52.12</v>
      </c>
      <c r="F12" s="35">
        <v>38.97</v>
      </c>
      <c r="G12" s="35">
        <v>13.7</v>
      </c>
      <c r="H12" s="35">
        <v>0.5</v>
      </c>
      <c r="I12" s="35">
        <v>0.5</v>
      </c>
      <c r="J12" s="36">
        <f t="shared" si="2"/>
        <v>-1.55</v>
      </c>
      <c r="P12" s="8">
        <f t="shared" ref="P12:W12" si="3">P10/70</f>
        <v>37.47142857</v>
      </c>
      <c r="Q12" s="8">
        <f t="shared" si="3"/>
        <v>38.72857143</v>
      </c>
      <c r="R12" s="8">
        <f t="shared" si="3"/>
        <v>34.72857143</v>
      </c>
      <c r="S12" s="8">
        <f t="shared" si="3"/>
        <v>38.48571429</v>
      </c>
      <c r="T12" s="8">
        <f t="shared" si="3"/>
        <v>32.48571429</v>
      </c>
      <c r="U12" s="8">
        <f t="shared" si="3"/>
        <v>36.22857143</v>
      </c>
      <c r="V12" s="8">
        <f t="shared" si="3"/>
        <v>35.47142857</v>
      </c>
      <c r="W12" s="8">
        <f t="shared" si="3"/>
        <v>35.97142857</v>
      </c>
    </row>
    <row r="13">
      <c r="A13" s="37" t="s">
        <v>67</v>
      </c>
      <c r="B13" s="35">
        <v>26.32</v>
      </c>
      <c r="C13" s="35">
        <v>24.09</v>
      </c>
      <c r="D13" s="36"/>
      <c r="E13" s="36">
        <f t="shared" si="1"/>
        <v>50.41</v>
      </c>
      <c r="F13" s="35">
        <v>38.97</v>
      </c>
      <c r="G13" s="35">
        <v>11.75</v>
      </c>
      <c r="H13" s="35">
        <v>0.5</v>
      </c>
      <c r="I13" s="35">
        <v>0.5</v>
      </c>
      <c r="J13" s="36">
        <f t="shared" si="2"/>
        <v>-1.31</v>
      </c>
      <c r="L13" s="7">
        <v>11.75</v>
      </c>
      <c r="M13" s="7">
        <v>600.0</v>
      </c>
    </row>
    <row r="14">
      <c r="A14" s="37" t="s">
        <v>68</v>
      </c>
      <c r="B14" s="35">
        <v>25.83</v>
      </c>
      <c r="C14" s="35">
        <v>28.14</v>
      </c>
      <c r="D14" s="36"/>
      <c r="E14" s="36">
        <f t="shared" si="1"/>
        <v>53.97</v>
      </c>
      <c r="F14" s="35">
        <v>39.97</v>
      </c>
      <c r="G14" s="39">
        <v>8.3</v>
      </c>
      <c r="H14" s="35">
        <v>0.5</v>
      </c>
      <c r="I14" s="35">
        <v>0.5</v>
      </c>
      <c r="J14" s="36">
        <f t="shared" si="2"/>
        <v>4.7</v>
      </c>
    </row>
    <row r="15">
      <c r="A15" s="37" t="s">
        <v>69</v>
      </c>
      <c r="B15" s="35">
        <v>27.89</v>
      </c>
      <c r="C15" s="35">
        <v>22.46</v>
      </c>
      <c r="D15" s="36"/>
      <c r="E15" s="36">
        <f t="shared" si="1"/>
        <v>50.35</v>
      </c>
      <c r="F15" s="35">
        <v>37.97</v>
      </c>
      <c r="G15" s="39">
        <v>14.6</v>
      </c>
      <c r="H15" s="35">
        <v>0.5</v>
      </c>
      <c r="I15" s="35">
        <v>0.5</v>
      </c>
      <c r="J15" s="36">
        <f t="shared" si="2"/>
        <v>-3.22</v>
      </c>
    </row>
    <row r="16">
      <c r="A16" s="37" t="s">
        <v>70</v>
      </c>
      <c r="B16" s="35">
        <v>27.32</v>
      </c>
      <c r="C16" s="35">
        <v>26.58</v>
      </c>
      <c r="D16" s="36"/>
      <c r="E16" s="36">
        <f t="shared" si="1"/>
        <v>53.9</v>
      </c>
      <c r="F16" s="35">
        <v>38.47</v>
      </c>
      <c r="G16" s="39">
        <v>11.3</v>
      </c>
      <c r="H16" s="35">
        <v>0.5</v>
      </c>
      <c r="I16" s="35">
        <v>0.5</v>
      </c>
      <c r="J16" s="36">
        <f t="shared" si="2"/>
        <v>3.13</v>
      </c>
    </row>
    <row r="17">
      <c r="A17" s="37" t="s">
        <v>71</v>
      </c>
      <c r="B17" s="35">
        <v>27.61</v>
      </c>
      <c r="C17" s="35">
        <v>22.66</v>
      </c>
      <c r="D17" s="36"/>
      <c r="E17" s="36">
        <f t="shared" si="1"/>
        <v>50.27</v>
      </c>
      <c r="F17" s="35">
        <v>38.47</v>
      </c>
      <c r="G17" s="39">
        <v>9.8</v>
      </c>
      <c r="H17" s="35">
        <v>0.5</v>
      </c>
      <c r="I17" s="35">
        <v>0.5</v>
      </c>
      <c r="J17" s="36">
        <f t="shared" si="2"/>
        <v>1</v>
      </c>
    </row>
    <row r="18">
      <c r="A18" s="37" t="s">
        <v>72</v>
      </c>
      <c r="B18" s="35">
        <v>22.59</v>
      </c>
      <c r="C18" s="35">
        <v>27.15</v>
      </c>
      <c r="D18" s="36"/>
      <c r="E18" s="36">
        <f t="shared" si="1"/>
        <v>49.74</v>
      </c>
      <c r="F18" s="35">
        <v>38.97</v>
      </c>
      <c r="G18" s="39">
        <v>6.4</v>
      </c>
      <c r="H18" s="35">
        <v>0.5</v>
      </c>
      <c r="I18" s="35">
        <v>0.5</v>
      </c>
      <c r="J18" s="36">
        <f t="shared" si="2"/>
        <v>3.37</v>
      </c>
    </row>
    <row r="19">
      <c r="A19" s="37" t="s">
        <v>73</v>
      </c>
      <c r="B19" s="35">
        <v>22.43</v>
      </c>
      <c r="C19" s="35">
        <v>27.29</v>
      </c>
      <c r="D19" s="36"/>
      <c r="E19" s="36">
        <f t="shared" si="1"/>
        <v>49.72</v>
      </c>
      <c r="F19" s="35">
        <v>37.97</v>
      </c>
      <c r="G19" s="39">
        <v>9.7</v>
      </c>
      <c r="H19" s="35">
        <v>0.5</v>
      </c>
      <c r="I19" s="35">
        <v>0.5</v>
      </c>
      <c r="J19" s="36">
        <f t="shared" si="2"/>
        <v>1.05</v>
      </c>
    </row>
    <row r="20">
      <c r="A20" s="37" t="s">
        <v>74</v>
      </c>
      <c r="B20" s="35">
        <v>23.85</v>
      </c>
      <c r="C20" s="35">
        <v>25.03</v>
      </c>
      <c r="D20" s="36"/>
      <c r="E20" s="36">
        <f t="shared" si="1"/>
        <v>48.88</v>
      </c>
      <c r="F20" s="35">
        <v>37.97</v>
      </c>
      <c r="G20" s="39">
        <v>13.5</v>
      </c>
      <c r="H20" s="35">
        <v>0.5</v>
      </c>
      <c r="I20" s="35">
        <v>0.5</v>
      </c>
      <c r="J20" s="36">
        <f t="shared" si="2"/>
        <v>-3.59</v>
      </c>
    </row>
    <row r="21">
      <c r="A21" s="37" t="s">
        <v>75</v>
      </c>
      <c r="B21" s="35">
        <v>26.85</v>
      </c>
      <c r="C21" s="35">
        <v>26.28</v>
      </c>
      <c r="D21" s="36"/>
      <c r="E21" s="36">
        <f t="shared" si="1"/>
        <v>53.13</v>
      </c>
      <c r="F21" s="35">
        <v>36.97</v>
      </c>
      <c r="G21" s="39">
        <v>12.6</v>
      </c>
      <c r="H21" s="35">
        <v>0.5</v>
      </c>
      <c r="I21" s="35">
        <v>0.5</v>
      </c>
      <c r="J21" s="36">
        <f t="shared" si="2"/>
        <v>2.56</v>
      </c>
    </row>
    <row r="22">
      <c r="A22" s="37" t="s">
        <v>76</v>
      </c>
      <c r="B22" s="35">
        <v>29.93</v>
      </c>
      <c r="C22" s="35">
        <v>23.368</v>
      </c>
      <c r="D22" s="36"/>
      <c r="E22" s="36">
        <f t="shared" si="1"/>
        <v>53.298</v>
      </c>
      <c r="F22" s="35">
        <v>40.47</v>
      </c>
      <c r="G22" s="39">
        <v>13.3</v>
      </c>
      <c r="H22" s="35">
        <v>0.5</v>
      </c>
      <c r="I22" s="35">
        <v>0.5</v>
      </c>
      <c r="J22" s="36">
        <f t="shared" si="2"/>
        <v>-1.472</v>
      </c>
    </row>
    <row r="23">
      <c r="A23" s="37" t="s">
        <v>77</v>
      </c>
      <c r="B23" s="35">
        <v>25.39</v>
      </c>
      <c r="C23" s="35">
        <v>24.93</v>
      </c>
      <c r="D23" s="36"/>
      <c r="E23" s="36">
        <f t="shared" si="1"/>
        <v>50.32</v>
      </c>
      <c r="F23" s="35">
        <v>40.97</v>
      </c>
      <c r="G23" s="39">
        <v>8.3</v>
      </c>
      <c r="H23" s="35">
        <v>0.5</v>
      </c>
      <c r="I23" s="35">
        <v>0.5</v>
      </c>
      <c r="J23" s="36">
        <f t="shared" si="2"/>
        <v>0.05</v>
      </c>
    </row>
    <row r="24">
      <c r="A24" s="37" t="s">
        <v>78</v>
      </c>
      <c r="B24" s="35">
        <v>28.95</v>
      </c>
      <c r="C24" s="35">
        <v>25.39</v>
      </c>
      <c r="D24" s="36"/>
      <c r="E24" s="36">
        <f t="shared" si="1"/>
        <v>54.34</v>
      </c>
      <c r="F24" s="35">
        <v>6.0</v>
      </c>
      <c r="G24" s="39">
        <v>11.9</v>
      </c>
      <c r="H24" s="35">
        <v>0.5</v>
      </c>
      <c r="I24" s="35">
        <v>0.5</v>
      </c>
      <c r="J24" s="36">
        <f t="shared" si="2"/>
        <v>35.44</v>
      </c>
    </row>
    <row r="25">
      <c r="A25" s="40" t="s">
        <v>79</v>
      </c>
      <c r="B25" s="35">
        <v>26.73</v>
      </c>
      <c r="C25" s="35">
        <v>28.38</v>
      </c>
      <c r="D25" s="36"/>
      <c r="E25" s="36">
        <f t="shared" si="1"/>
        <v>55.11</v>
      </c>
      <c r="F25" s="35">
        <v>44.47</v>
      </c>
      <c r="G25" s="39">
        <v>7.7</v>
      </c>
      <c r="H25" s="35">
        <v>0.5</v>
      </c>
      <c r="I25" s="35">
        <v>0.5</v>
      </c>
      <c r="J25" s="36">
        <f t="shared" si="2"/>
        <v>1.94</v>
      </c>
    </row>
    <row r="26">
      <c r="A26" s="41">
        <v>46027.0</v>
      </c>
      <c r="B26" s="35">
        <v>27.09</v>
      </c>
      <c r="C26" s="35">
        <v>25.85</v>
      </c>
      <c r="D26" s="36"/>
      <c r="E26" s="36">
        <f t="shared" si="1"/>
        <v>52.94</v>
      </c>
      <c r="F26" s="35">
        <v>37.47</v>
      </c>
      <c r="G26" s="39">
        <v>9.7</v>
      </c>
      <c r="H26" s="35">
        <v>0.5</v>
      </c>
      <c r="I26" s="35">
        <v>0.5</v>
      </c>
      <c r="J26" s="36">
        <f t="shared" si="2"/>
        <v>4.77</v>
      </c>
    </row>
    <row r="27">
      <c r="A27" s="41">
        <v>46058.0</v>
      </c>
      <c r="B27" s="35">
        <v>24.45</v>
      </c>
      <c r="C27" s="35">
        <v>25.277</v>
      </c>
      <c r="D27" s="36"/>
      <c r="E27" s="36">
        <f t="shared" si="1"/>
        <v>49.727</v>
      </c>
      <c r="F27" s="35">
        <v>38.72</v>
      </c>
      <c r="G27" s="39">
        <v>11.0</v>
      </c>
      <c r="H27" s="35">
        <v>0.5</v>
      </c>
      <c r="I27" s="35">
        <v>0.5</v>
      </c>
      <c r="J27" s="36">
        <f t="shared" si="2"/>
        <v>-0.993</v>
      </c>
    </row>
    <row r="28">
      <c r="A28" s="41">
        <v>46086.0</v>
      </c>
      <c r="B28" s="35">
        <v>27.445</v>
      </c>
      <c r="C28" s="35">
        <v>25.277</v>
      </c>
      <c r="D28" s="36"/>
      <c r="E28" s="36">
        <f t="shared" si="1"/>
        <v>52.722</v>
      </c>
      <c r="F28" s="35">
        <v>34.72</v>
      </c>
      <c r="G28" s="39">
        <v>17.2</v>
      </c>
      <c r="H28" s="35">
        <v>0.5</v>
      </c>
      <c r="I28" s="35">
        <v>0.5</v>
      </c>
      <c r="J28" s="36">
        <f t="shared" si="2"/>
        <v>-0.198</v>
      </c>
    </row>
    <row r="29">
      <c r="A29" s="41">
        <v>46117.0</v>
      </c>
      <c r="B29" s="35">
        <v>26.83</v>
      </c>
      <c r="C29" s="35">
        <v>25.46</v>
      </c>
      <c r="D29" s="36"/>
      <c r="E29" s="36">
        <f t="shared" si="1"/>
        <v>52.29</v>
      </c>
      <c r="F29" s="35">
        <v>38.48</v>
      </c>
      <c r="G29" s="39">
        <v>11.0</v>
      </c>
      <c r="H29" s="35">
        <v>0.5</v>
      </c>
      <c r="I29" s="35">
        <v>0.5</v>
      </c>
      <c r="J29" s="36">
        <f t="shared" si="2"/>
        <v>1.81</v>
      </c>
    </row>
    <row r="30">
      <c r="A30" s="41">
        <v>46147.0</v>
      </c>
      <c r="B30" s="35">
        <v>26.68</v>
      </c>
      <c r="C30" s="35">
        <v>25.35</v>
      </c>
      <c r="D30" s="36"/>
      <c r="E30" s="36">
        <f t="shared" si="1"/>
        <v>52.03</v>
      </c>
      <c r="F30" s="35">
        <v>32.48</v>
      </c>
      <c r="G30" s="39">
        <v>15.0</v>
      </c>
      <c r="H30" s="35">
        <v>0.5</v>
      </c>
      <c r="I30" s="35">
        <v>0.5</v>
      </c>
      <c r="J30" s="36">
        <f t="shared" si="2"/>
        <v>3.55</v>
      </c>
    </row>
    <row r="31">
      <c r="A31" s="41">
        <v>46178.0</v>
      </c>
      <c r="B31" s="35">
        <v>25.77</v>
      </c>
      <c r="C31" s="35">
        <v>25.21</v>
      </c>
      <c r="D31" s="36"/>
      <c r="E31" s="36">
        <f t="shared" si="1"/>
        <v>50.98</v>
      </c>
      <c r="F31" s="35">
        <v>36.22</v>
      </c>
      <c r="G31" s="39">
        <v>11.0</v>
      </c>
      <c r="H31" s="35">
        <v>0.5</v>
      </c>
      <c r="I31" s="35">
        <v>0.5</v>
      </c>
      <c r="J31" s="36">
        <f t="shared" si="2"/>
        <v>2.76</v>
      </c>
    </row>
    <row r="32">
      <c r="A32" s="41">
        <v>46208.0</v>
      </c>
      <c r="B32" s="35">
        <v>24.92</v>
      </c>
      <c r="C32" s="35">
        <v>23.08</v>
      </c>
      <c r="D32" s="36"/>
      <c r="E32" s="36">
        <f t="shared" si="1"/>
        <v>48</v>
      </c>
      <c r="F32" s="35">
        <v>35.47</v>
      </c>
      <c r="G32" s="39">
        <v>11.6</v>
      </c>
      <c r="H32" s="35">
        <v>0.5</v>
      </c>
      <c r="I32" s="35">
        <v>0.5</v>
      </c>
      <c r="J32" s="36">
        <f t="shared" si="2"/>
        <v>-0.07</v>
      </c>
    </row>
    <row r="33">
      <c r="A33" s="41">
        <v>46239.0</v>
      </c>
      <c r="B33" s="35">
        <v>26.845</v>
      </c>
      <c r="C33" s="35">
        <v>23.58</v>
      </c>
      <c r="D33" s="36"/>
      <c r="E33" s="36">
        <f t="shared" si="1"/>
        <v>50.425</v>
      </c>
      <c r="F33" s="35">
        <v>35.97</v>
      </c>
      <c r="G33" s="39">
        <v>14.0</v>
      </c>
      <c r="H33" s="35">
        <v>0.5</v>
      </c>
      <c r="I33" s="35">
        <v>0.5</v>
      </c>
      <c r="J33" s="36">
        <f t="shared" si="2"/>
        <v>-0.545</v>
      </c>
    </row>
    <row r="34">
      <c r="A34" s="41">
        <v>46270.0</v>
      </c>
      <c r="B34" s="35">
        <v>24.0</v>
      </c>
      <c r="C34" s="35">
        <v>21.7</v>
      </c>
      <c r="D34" s="36"/>
      <c r="E34" s="36">
        <f t="shared" si="1"/>
        <v>45.7</v>
      </c>
      <c r="F34" s="35">
        <v>33.22</v>
      </c>
      <c r="G34" s="39">
        <v>14.4</v>
      </c>
      <c r="H34" s="35">
        <v>0.5</v>
      </c>
      <c r="I34" s="35">
        <v>0.5</v>
      </c>
      <c r="J34" s="36">
        <f t="shared" si="2"/>
        <v>-2.92</v>
      </c>
    </row>
    <row r="35">
      <c r="A35" s="41">
        <v>46300.0</v>
      </c>
      <c r="B35" s="35">
        <v>27.5</v>
      </c>
      <c r="C35" s="35">
        <v>27.03</v>
      </c>
      <c r="D35" s="36"/>
      <c r="E35" s="36">
        <f t="shared" si="1"/>
        <v>54.53</v>
      </c>
      <c r="F35" s="35">
        <v>32.72</v>
      </c>
      <c r="G35" s="39">
        <v>13.7</v>
      </c>
      <c r="H35" s="35">
        <v>0.5</v>
      </c>
      <c r="I35" s="35">
        <v>0.5</v>
      </c>
      <c r="J35" s="36">
        <f t="shared" si="2"/>
        <v>7.11</v>
      </c>
    </row>
    <row r="36">
      <c r="A36" s="41">
        <v>46331.0</v>
      </c>
      <c r="B36" s="35">
        <v>26.34</v>
      </c>
      <c r="C36" s="35">
        <v>25.65</v>
      </c>
      <c r="D36" s="36"/>
      <c r="E36" s="36">
        <f t="shared" si="1"/>
        <v>51.99</v>
      </c>
      <c r="F36" s="35">
        <v>33.72</v>
      </c>
      <c r="G36" s="39">
        <v>15.0</v>
      </c>
      <c r="H36" s="35">
        <v>0.5</v>
      </c>
      <c r="I36" s="35">
        <v>0.5</v>
      </c>
      <c r="J36" s="36">
        <f t="shared" si="2"/>
        <v>2.27</v>
      </c>
    </row>
    <row r="37">
      <c r="A37" s="41">
        <v>46361.0</v>
      </c>
      <c r="B37" s="35">
        <v>26.41</v>
      </c>
      <c r="C37" s="35">
        <v>24.93</v>
      </c>
      <c r="D37" s="36"/>
      <c r="E37" s="36">
        <f t="shared" si="1"/>
        <v>51.34</v>
      </c>
      <c r="F37" s="35">
        <v>33.72</v>
      </c>
      <c r="G37" s="39">
        <v>17.0</v>
      </c>
      <c r="H37" s="35">
        <v>0.5</v>
      </c>
      <c r="I37" s="35">
        <v>0.5</v>
      </c>
      <c r="J37" s="36">
        <f t="shared" si="2"/>
        <v>-0.38</v>
      </c>
    </row>
    <row r="38">
      <c r="A38" s="40" t="s">
        <v>80</v>
      </c>
      <c r="B38" s="35">
        <v>26.01</v>
      </c>
      <c r="C38" s="35">
        <v>23.78</v>
      </c>
      <c r="D38" s="36"/>
      <c r="E38" s="36">
        <f t="shared" si="1"/>
        <v>49.79</v>
      </c>
      <c r="F38" s="35">
        <v>35.22</v>
      </c>
      <c r="G38" s="39">
        <v>13.62</v>
      </c>
      <c r="H38" s="35">
        <v>0.5</v>
      </c>
      <c r="I38" s="35">
        <v>0.5</v>
      </c>
      <c r="J38" s="36">
        <f t="shared" si="2"/>
        <v>-0.05</v>
      </c>
    </row>
    <row r="39">
      <c r="A39" s="40" t="s">
        <v>81</v>
      </c>
      <c r="B39" s="35">
        <v>28.66</v>
      </c>
      <c r="C39" s="35">
        <v>23.57</v>
      </c>
      <c r="D39" s="36"/>
      <c r="E39" s="36">
        <f t="shared" si="1"/>
        <v>52.23</v>
      </c>
      <c r="F39" s="35">
        <v>37.72</v>
      </c>
      <c r="G39" s="39">
        <v>13.0</v>
      </c>
      <c r="H39" s="35">
        <v>0.5</v>
      </c>
      <c r="I39" s="35">
        <v>0.5</v>
      </c>
      <c r="J39" s="36">
        <f t="shared" si="2"/>
        <v>0.51</v>
      </c>
    </row>
    <row r="40">
      <c r="A40" s="40" t="s">
        <v>82</v>
      </c>
      <c r="B40" s="36"/>
      <c r="C40" s="36"/>
      <c r="D40" s="36"/>
      <c r="E40" s="36">
        <f t="shared" si="1"/>
        <v>0</v>
      </c>
      <c r="F40" s="35">
        <v>34.72</v>
      </c>
      <c r="G40" s="39">
        <v>13.9</v>
      </c>
      <c r="H40" s="36"/>
      <c r="I40" s="36"/>
      <c r="J40" s="36">
        <f t="shared" si="2"/>
        <v>-48.62</v>
      </c>
    </row>
    <row r="41">
      <c r="A41" s="40" t="s">
        <v>83</v>
      </c>
    </row>
    <row r="42">
      <c r="A42" s="40" t="s">
        <v>84</v>
      </c>
    </row>
    <row r="43">
      <c r="A43" s="40" t="s">
        <v>85</v>
      </c>
    </row>
    <row r="44">
      <c r="A44" s="40" t="s">
        <v>86</v>
      </c>
      <c r="B44" s="38"/>
      <c r="C44" s="38"/>
      <c r="D44" s="38"/>
      <c r="E44" s="38"/>
      <c r="F44" s="38"/>
      <c r="G44" s="38"/>
      <c r="H44" s="38"/>
    </row>
    <row r="45">
      <c r="A45" s="40" t="s">
        <v>87</v>
      </c>
      <c r="B45" s="38"/>
      <c r="C45" s="38"/>
      <c r="D45" s="38"/>
      <c r="E45" s="38"/>
      <c r="F45" s="38"/>
      <c r="G45" s="38"/>
      <c r="H45" s="38"/>
    </row>
    <row r="46">
      <c r="A46" s="40" t="s">
        <v>88</v>
      </c>
    </row>
    <row r="47">
      <c r="A47" s="40" t="s">
        <v>89</v>
      </c>
    </row>
    <row r="48">
      <c r="A48" s="40" t="s">
        <v>90</v>
      </c>
    </row>
    <row r="49">
      <c r="A49" s="40" t="s">
        <v>91</v>
      </c>
    </row>
    <row r="50">
      <c r="A50" s="40" t="s">
        <v>92</v>
      </c>
    </row>
    <row r="51">
      <c r="A51" s="40" t="s">
        <v>93</v>
      </c>
    </row>
    <row r="52">
      <c r="A52" s="40" t="s">
        <v>94</v>
      </c>
    </row>
    <row r="53">
      <c r="A53" s="40" t="s">
        <v>95</v>
      </c>
    </row>
    <row r="54">
      <c r="A54" s="40" t="s">
        <v>96</v>
      </c>
    </row>
    <row r="55">
      <c r="A55" s="40" t="s">
        <v>97</v>
      </c>
    </row>
    <row r="56">
      <c r="A56" s="40" t="s">
        <v>98</v>
      </c>
    </row>
    <row r="57">
      <c r="A57" s="40" t="s">
        <v>99</v>
      </c>
    </row>
    <row r="58">
      <c r="A58" s="42"/>
    </row>
    <row r="59">
      <c r="A59" s="42"/>
    </row>
    <row r="60">
      <c r="A60" s="42"/>
    </row>
    <row r="61">
      <c r="A61" s="42"/>
    </row>
    <row r="62">
      <c r="A62" s="42"/>
    </row>
    <row r="63">
      <c r="A63" s="42"/>
    </row>
    <row r="64">
      <c r="A64" s="42"/>
    </row>
    <row r="65">
      <c r="A65" s="42"/>
    </row>
    <row r="66">
      <c r="A66" s="42"/>
    </row>
    <row r="67">
      <c r="A67" s="42"/>
    </row>
    <row r="68">
      <c r="A68" s="42"/>
    </row>
    <row r="69">
      <c r="A69" s="42"/>
    </row>
    <row r="70">
      <c r="A70" s="42"/>
    </row>
    <row r="71">
      <c r="A71" s="42"/>
    </row>
    <row r="72">
      <c r="A72" s="42"/>
    </row>
    <row r="73">
      <c r="A73" s="42"/>
    </row>
    <row r="74">
      <c r="A74" s="42"/>
    </row>
    <row r="75">
      <c r="A75" s="42"/>
    </row>
    <row r="76">
      <c r="A76" s="42"/>
    </row>
    <row r="77">
      <c r="A77" s="42"/>
    </row>
    <row r="78">
      <c r="A78" s="42"/>
    </row>
    <row r="79">
      <c r="A79" s="42"/>
    </row>
    <row r="80">
      <c r="A80" s="42"/>
    </row>
    <row r="81">
      <c r="A81" s="42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43"/>
    <col customWidth="1" min="3" max="3" width="9.57"/>
    <col customWidth="1" min="4" max="4" width="22.43"/>
  </cols>
  <sheetData>
    <row r="1">
      <c r="A1" s="33" t="s">
        <v>0</v>
      </c>
      <c r="B1" s="33" t="s">
        <v>100</v>
      </c>
      <c r="C1" s="33" t="s">
        <v>101</v>
      </c>
      <c r="D1" s="33" t="s">
        <v>36</v>
      </c>
      <c r="E1" s="33" t="s">
        <v>102</v>
      </c>
      <c r="F1" s="33" t="s">
        <v>103</v>
      </c>
      <c r="G1" s="33" t="s">
        <v>104</v>
      </c>
      <c r="H1" s="33" t="s">
        <v>105</v>
      </c>
    </row>
    <row r="2">
      <c r="A2" s="43"/>
      <c r="B2" s="44" t="s">
        <v>106</v>
      </c>
      <c r="C2" s="35" t="s">
        <v>107</v>
      </c>
      <c r="D2" s="35">
        <f t="shared" ref="D2:D3" si="1">sum(E2:H2)</f>
        <v>91</v>
      </c>
      <c r="E2" s="35">
        <v>4.0</v>
      </c>
      <c r="F2" s="35">
        <v>21.0</v>
      </c>
      <c r="G2" s="35">
        <v>11.0</v>
      </c>
      <c r="H2" s="35">
        <v>55.0</v>
      </c>
    </row>
    <row r="3">
      <c r="A3" s="43">
        <v>46084.0</v>
      </c>
      <c r="B3" s="9"/>
      <c r="C3" s="35" t="s">
        <v>108</v>
      </c>
      <c r="D3" s="35">
        <f t="shared" si="1"/>
        <v>22.75</v>
      </c>
      <c r="E3" s="35">
        <v>4.0</v>
      </c>
      <c r="F3" s="35">
        <f>F2/2</f>
        <v>10.5</v>
      </c>
      <c r="G3" s="35">
        <f>G2/4</f>
        <v>2.75</v>
      </c>
      <c r="H3" s="35">
        <f>H2/10</f>
        <v>5.5</v>
      </c>
    </row>
    <row r="4">
      <c r="A4" s="43">
        <v>46268.0</v>
      </c>
      <c r="B4" s="35" t="s">
        <v>109</v>
      </c>
      <c r="C4" s="35" t="s">
        <v>107</v>
      </c>
      <c r="D4" s="36">
        <f t="shared" ref="D4:D5" si="2">E4+F4+G4+H4</f>
        <v>21</v>
      </c>
      <c r="E4" s="35">
        <v>1.0</v>
      </c>
      <c r="F4" s="35">
        <v>8.0</v>
      </c>
      <c r="G4" s="35">
        <v>4.0</v>
      </c>
      <c r="H4" s="35">
        <v>8.0</v>
      </c>
    </row>
    <row r="5">
      <c r="A5" s="36"/>
      <c r="B5" s="36"/>
      <c r="C5" s="35" t="s">
        <v>108</v>
      </c>
      <c r="D5" s="36">
        <f t="shared" si="2"/>
        <v>6.8</v>
      </c>
      <c r="E5" s="35">
        <v>1.0</v>
      </c>
      <c r="F5" s="35">
        <v>4.0</v>
      </c>
      <c r="G5" s="35">
        <v>1.0</v>
      </c>
      <c r="H5" s="35">
        <v>0.8</v>
      </c>
    </row>
    <row r="20">
      <c r="A20" s="35" t="s">
        <v>110</v>
      </c>
      <c r="B20" s="36"/>
      <c r="C20" s="35" t="s">
        <v>111</v>
      </c>
      <c r="D20" s="36">
        <f>D2+D4</f>
        <v>112</v>
      </c>
      <c r="E20" s="36">
        <f t="shared" ref="E20:H20" si="3">E2</f>
        <v>4</v>
      </c>
      <c r="F20" s="36">
        <f t="shared" si="3"/>
        <v>21</v>
      </c>
      <c r="G20" s="36">
        <f t="shared" si="3"/>
        <v>11</v>
      </c>
      <c r="H20" s="36">
        <f t="shared" si="3"/>
        <v>55</v>
      </c>
      <c r="I20" s="36"/>
    </row>
    <row r="21">
      <c r="A21" s="45">
        <f>TODAY()</f>
        <v>46188</v>
      </c>
      <c r="B21" s="36"/>
      <c r="C21" s="35" t="s">
        <v>108</v>
      </c>
      <c r="D21" s="36">
        <f t="shared" ref="D21:H21" si="4">D3</f>
        <v>22.75</v>
      </c>
      <c r="E21" s="36">
        <f t="shared" si="4"/>
        <v>4</v>
      </c>
      <c r="F21" s="36">
        <f t="shared" si="4"/>
        <v>10.5</v>
      </c>
      <c r="G21" s="36">
        <f t="shared" si="4"/>
        <v>2.75</v>
      </c>
      <c r="H21" s="36">
        <f t="shared" si="4"/>
        <v>5.5</v>
      </c>
      <c r="I21" s="36"/>
    </row>
    <row r="22">
      <c r="A22" s="36"/>
      <c r="B22" s="36"/>
      <c r="C22" s="36"/>
      <c r="D22" s="36"/>
      <c r="E22" s="36"/>
      <c r="F22" s="36"/>
      <c r="G22" s="36"/>
      <c r="H22" s="36"/>
      <c r="I22" s="36"/>
    </row>
  </sheetData>
  <mergeCells count="1">
    <mergeCell ref="B2:B3"/>
  </mergeCell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57"/>
    <col customWidth="1" min="3" max="4" width="13.29"/>
    <col customWidth="1" min="5" max="5" width="17.14"/>
    <col customWidth="1" min="14" max="14" width="17.43"/>
  </cols>
  <sheetData>
    <row r="1">
      <c r="A1" s="7"/>
      <c r="B1" s="46"/>
      <c r="C1" s="35"/>
      <c r="D1" s="35"/>
      <c r="E1" s="35"/>
      <c r="F1" s="35"/>
      <c r="G1" s="47" t="s">
        <v>112</v>
      </c>
      <c r="H1" s="48"/>
      <c r="I1" s="48"/>
      <c r="J1" s="49"/>
      <c r="K1" s="35"/>
      <c r="L1" s="35"/>
      <c r="M1" s="35"/>
      <c r="N1" s="36"/>
      <c r="O1" s="36"/>
      <c r="P1" s="36"/>
    </row>
    <row r="2">
      <c r="A2" s="50"/>
      <c r="B2" s="51" t="s">
        <v>0</v>
      </c>
      <c r="C2" s="52"/>
      <c r="D2" s="52" t="s">
        <v>113</v>
      </c>
      <c r="E2" s="52" t="s">
        <v>114</v>
      </c>
      <c r="F2" s="52" t="s">
        <v>115</v>
      </c>
      <c r="G2" s="52" t="s">
        <v>102</v>
      </c>
      <c r="H2" s="52" t="s">
        <v>103</v>
      </c>
      <c r="I2" s="52" t="s">
        <v>104</v>
      </c>
      <c r="J2" s="52" t="s">
        <v>105</v>
      </c>
      <c r="K2" s="52" t="s">
        <v>116</v>
      </c>
      <c r="L2" s="53" t="s">
        <v>117</v>
      </c>
      <c r="M2" s="53" t="s">
        <v>118</v>
      </c>
      <c r="N2" s="33" t="s">
        <v>119</v>
      </c>
      <c r="O2" s="33" t="s">
        <v>120</v>
      </c>
      <c r="P2" s="35" t="s">
        <v>121</v>
      </c>
    </row>
    <row r="3">
      <c r="A3" s="54" t="s">
        <v>122</v>
      </c>
      <c r="B3" s="55">
        <v>46084.0</v>
      </c>
      <c r="C3" s="56"/>
      <c r="D3" s="56">
        <v>22.75</v>
      </c>
      <c r="E3" s="56">
        <v>0.0</v>
      </c>
      <c r="F3" s="57">
        <f t="shared" ref="F3:F8" si="1">D3+E3</f>
        <v>22.75</v>
      </c>
      <c r="G3" s="56">
        <v>4.0</v>
      </c>
      <c r="H3" s="56">
        <v>21.0</v>
      </c>
      <c r="I3" s="56">
        <v>11.0</v>
      </c>
      <c r="J3" s="56">
        <v>55.0</v>
      </c>
      <c r="K3" s="57">
        <f t="shared" ref="K3:K5" si="2">G3*1+H3*0.5+I3*0.25+J3*0.1</f>
        <v>22.75</v>
      </c>
      <c r="L3" s="56"/>
      <c r="M3" s="56">
        <v>0.0</v>
      </c>
      <c r="N3" s="57"/>
      <c r="O3" s="57">
        <f>K3-M3</f>
        <v>22.75</v>
      </c>
      <c r="P3" s="57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</row>
    <row r="4">
      <c r="B4" s="59">
        <v>46268.0</v>
      </c>
      <c r="C4" s="35"/>
      <c r="D4" s="35">
        <v>22.75</v>
      </c>
      <c r="E4" s="35">
        <v>2.5</v>
      </c>
      <c r="F4" s="36">
        <f t="shared" si="1"/>
        <v>25.25</v>
      </c>
      <c r="G4" s="35">
        <v>0.0</v>
      </c>
      <c r="H4" s="35">
        <v>3.0</v>
      </c>
      <c r="I4" s="35">
        <v>4.0</v>
      </c>
      <c r="J4" s="35">
        <v>0.0</v>
      </c>
      <c r="K4" s="36">
        <f t="shared" si="2"/>
        <v>2.5</v>
      </c>
      <c r="L4" s="35"/>
      <c r="M4" s="35">
        <v>0.0</v>
      </c>
      <c r="N4" s="36"/>
      <c r="O4" s="36">
        <f>O3+K4-M4</f>
        <v>25.25</v>
      </c>
      <c r="P4" s="36"/>
    </row>
    <row r="5">
      <c r="B5" s="59">
        <v>46298.0</v>
      </c>
      <c r="C5" s="35"/>
      <c r="D5" s="35">
        <v>25.25</v>
      </c>
      <c r="E5" s="35">
        <v>1.0</v>
      </c>
      <c r="F5" s="36">
        <f t="shared" si="1"/>
        <v>26.25</v>
      </c>
      <c r="G5" s="35">
        <v>0.0</v>
      </c>
      <c r="H5" s="35">
        <v>2.0</v>
      </c>
      <c r="I5" s="35">
        <v>0.0</v>
      </c>
      <c r="J5" s="35">
        <v>0.0</v>
      </c>
      <c r="K5" s="36">
        <f t="shared" si="2"/>
        <v>1</v>
      </c>
      <c r="L5" s="35"/>
      <c r="M5" s="35">
        <v>0.0</v>
      </c>
      <c r="N5" s="35"/>
      <c r="O5" s="36">
        <f>O4+K5-M5-N5</f>
        <v>26.25</v>
      </c>
      <c r="P5" s="36"/>
    </row>
    <row r="6">
      <c r="A6" s="27" t="s">
        <v>123</v>
      </c>
      <c r="B6" s="60">
        <v>46329.0</v>
      </c>
      <c r="C6" s="61"/>
      <c r="D6" s="61">
        <v>26.25</v>
      </c>
      <c r="E6" s="61">
        <v>0.0</v>
      </c>
      <c r="F6" s="62">
        <f t="shared" si="1"/>
        <v>26.25</v>
      </c>
      <c r="G6" s="61">
        <v>0.0</v>
      </c>
      <c r="H6" s="61">
        <v>0.0</v>
      </c>
      <c r="I6" s="61">
        <v>0.0</v>
      </c>
      <c r="J6" s="61">
        <v>-2.0</v>
      </c>
      <c r="K6" s="61">
        <v>0.2</v>
      </c>
      <c r="L6" s="61"/>
      <c r="M6" s="61">
        <v>0.2</v>
      </c>
      <c r="N6" s="61"/>
      <c r="O6" s="61">
        <v>26.05</v>
      </c>
      <c r="P6" s="62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>
      <c r="B7" s="59">
        <v>46329.0</v>
      </c>
      <c r="C7" s="35"/>
      <c r="D7" s="35">
        <v>26.05</v>
      </c>
      <c r="E7" s="35">
        <v>0.5</v>
      </c>
      <c r="F7" s="36">
        <f t="shared" si="1"/>
        <v>26.55</v>
      </c>
      <c r="G7" s="35">
        <v>0.0</v>
      </c>
      <c r="H7" s="35">
        <v>0.0</v>
      </c>
      <c r="I7" s="35">
        <v>2.0</v>
      </c>
      <c r="J7" s="35">
        <v>0.0</v>
      </c>
      <c r="K7" s="35">
        <v>0.5</v>
      </c>
      <c r="L7" s="35"/>
      <c r="M7" s="35">
        <v>0.0</v>
      </c>
      <c r="N7" s="36"/>
      <c r="O7" s="35">
        <v>26.55</v>
      </c>
      <c r="P7" s="36"/>
    </row>
    <row r="8">
      <c r="B8" s="46" t="s">
        <v>124</v>
      </c>
      <c r="C8" s="35"/>
      <c r="D8" s="35">
        <v>26.55</v>
      </c>
      <c r="E8" s="35">
        <v>1.0</v>
      </c>
      <c r="F8" s="36">
        <f t="shared" si="1"/>
        <v>27.55</v>
      </c>
      <c r="G8" s="35">
        <v>0.0</v>
      </c>
      <c r="H8" s="35">
        <v>2.0</v>
      </c>
      <c r="I8" s="35">
        <v>0.0</v>
      </c>
      <c r="J8" s="35">
        <v>0.0</v>
      </c>
      <c r="K8" s="35">
        <v>1.0</v>
      </c>
      <c r="L8" s="35"/>
      <c r="M8" s="35">
        <v>0.0</v>
      </c>
      <c r="N8" s="36"/>
      <c r="O8" s="36">
        <f>O7+K8-M8</f>
        <v>27.55</v>
      </c>
      <c r="P8" s="36"/>
    </row>
    <row r="9">
      <c r="A9" s="27" t="s">
        <v>123</v>
      </c>
      <c r="B9" s="63" t="s">
        <v>125</v>
      </c>
      <c r="C9" s="61"/>
      <c r="D9" s="61">
        <v>27.55</v>
      </c>
      <c r="E9" s="61">
        <v>0.0</v>
      </c>
      <c r="F9" s="61">
        <v>27.55</v>
      </c>
      <c r="G9" s="61">
        <v>0.0</v>
      </c>
      <c r="H9" s="61">
        <v>-2.0</v>
      </c>
      <c r="I9" s="61">
        <v>-1.0</v>
      </c>
      <c r="J9" s="61">
        <v>0.0</v>
      </c>
      <c r="K9" s="61">
        <v>1.25</v>
      </c>
      <c r="L9" s="61"/>
      <c r="M9" s="61">
        <v>1.25</v>
      </c>
      <c r="N9" s="62"/>
      <c r="O9" s="62">
        <f>O8-M9</f>
        <v>26.3</v>
      </c>
      <c r="P9" s="62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>
      <c r="B10" s="46" t="s">
        <v>125</v>
      </c>
      <c r="C10" s="35"/>
      <c r="D10" s="35">
        <v>26.3</v>
      </c>
      <c r="E10" s="35">
        <v>0.75</v>
      </c>
      <c r="F10" s="35">
        <v>27.05</v>
      </c>
      <c r="G10" s="35">
        <v>0.0</v>
      </c>
      <c r="H10" s="35">
        <v>1.0</v>
      </c>
      <c r="I10" s="35">
        <v>1.0</v>
      </c>
      <c r="J10" s="35">
        <v>0.0</v>
      </c>
      <c r="K10" s="35">
        <v>0.75</v>
      </c>
      <c r="L10" s="35"/>
      <c r="M10" s="35">
        <v>0.0</v>
      </c>
      <c r="N10" s="36"/>
      <c r="O10" s="35">
        <v>27.05</v>
      </c>
      <c r="P10" s="36"/>
    </row>
    <row r="11">
      <c r="B11" s="64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>
      <c r="A12" s="54" t="s">
        <v>126</v>
      </c>
      <c r="B12" s="65" t="s">
        <v>127</v>
      </c>
      <c r="C12" s="56"/>
      <c r="D12" s="56">
        <v>27.05</v>
      </c>
      <c r="E12" s="56">
        <v>0.0</v>
      </c>
      <c r="F12" s="56">
        <v>27.05</v>
      </c>
      <c r="G12" s="56">
        <v>4.0</v>
      </c>
      <c r="H12" s="56">
        <v>27.0</v>
      </c>
      <c r="I12" s="56">
        <v>17.0</v>
      </c>
      <c r="J12" s="56">
        <v>53.0</v>
      </c>
      <c r="K12" s="56">
        <v>27.05</v>
      </c>
      <c r="L12" s="56">
        <v>0.0</v>
      </c>
      <c r="M12" s="56">
        <v>0.0</v>
      </c>
      <c r="N12" s="56">
        <v>0.0</v>
      </c>
      <c r="O12" s="56">
        <v>27.05</v>
      </c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</row>
    <row r="13">
      <c r="A13" s="7" t="s">
        <v>128</v>
      </c>
      <c r="B13" s="64"/>
      <c r="C13" s="35"/>
      <c r="D13" s="35">
        <v>27.05</v>
      </c>
      <c r="E13" s="35">
        <v>0.0</v>
      </c>
      <c r="F13" s="35">
        <v>27.05</v>
      </c>
      <c r="G13" s="35">
        <v>1.0</v>
      </c>
      <c r="H13" s="35">
        <v>6.0</v>
      </c>
      <c r="I13" s="35">
        <v>3.0</v>
      </c>
      <c r="J13" s="35">
        <v>12.0</v>
      </c>
      <c r="K13" s="35">
        <v>5.95</v>
      </c>
      <c r="L13" s="35">
        <v>0.0</v>
      </c>
      <c r="M13" s="35">
        <v>0.0</v>
      </c>
      <c r="N13" s="35">
        <v>0.0</v>
      </c>
      <c r="O13" s="35">
        <v>33.0</v>
      </c>
      <c r="P13" s="36"/>
    </row>
    <row r="14">
      <c r="A14" s="54" t="s">
        <v>126</v>
      </c>
      <c r="B14" s="65" t="s">
        <v>127</v>
      </c>
      <c r="C14" s="56"/>
      <c r="D14" s="56">
        <v>33.0</v>
      </c>
      <c r="E14" s="56">
        <v>0.0</v>
      </c>
      <c r="F14" s="56">
        <v>33.0</v>
      </c>
      <c r="G14" s="56">
        <v>5.0</v>
      </c>
      <c r="H14" s="56">
        <v>33.0</v>
      </c>
      <c r="I14" s="56">
        <v>20.0</v>
      </c>
      <c r="J14" s="56">
        <v>65.0</v>
      </c>
      <c r="K14" s="56">
        <v>33.0</v>
      </c>
      <c r="L14" s="56">
        <v>0.0</v>
      </c>
      <c r="M14" s="56">
        <v>0.0</v>
      </c>
      <c r="N14" s="56">
        <v>0.0</v>
      </c>
      <c r="O14" s="56">
        <v>33.0</v>
      </c>
      <c r="P14" s="57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</row>
    <row r="15">
      <c r="B15" s="46" t="s">
        <v>129</v>
      </c>
      <c r="C15" s="35"/>
      <c r="D15" s="35">
        <v>33.0</v>
      </c>
      <c r="E15" s="35">
        <v>1.0</v>
      </c>
      <c r="F15" s="35">
        <v>34.0</v>
      </c>
      <c r="G15" s="35">
        <v>0.0</v>
      </c>
      <c r="H15" s="35">
        <v>2.0</v>
      </c>
      <c r="I15" s="35">
        <v>0.0</v>
      </c>
      <c r="J15" s="35">
        <v>0.0</v>
      </c>
      <c r="K15" s="35">
        <v>1.0</v>
      </c>
      <c r="L15" s="35">
        <v>0.0</v>
      </c>
      <c r="M15" s="35">
        <v>0.0</v>
      </c>
      <c r="N15" s="35">
        <v>0.0</v>
      </c>
      <c r="O15" s="35">
        <v>34.0</v>
      </c>
      <c r="P15" s="36"/>
    </row>
    <row r="16">
      <c r="A16" s="27" t="s">
        <v>130</v>
      </c>
      <c r="B16" s="63" t="s">
        <v>131</v>
      </c>
      <c r="C16" s="61"/>
      <c r="D16" s="61">
        <v>34.0</v>
      </c>
      <c r="E16" s="61">
        <v>0.0</v>
      </c>
      <c r="F16" s="61">
        <v>34.0</v>
      </c>
      <c r="G16" s="61">
        <v>0.0</v>
      </c>
      <c r="H16" s="61">
        <v>0.0</v>
      </c>
      <c r="I16" s="61">
        <v>-2.0</v>
      </c>
      <c r="J16" s="61">
        <v>-8.0</v>
      </c>
      <c r="K16" s="61">
        <v>1.3</v>
      </c>
      <c r="L16" s="61"/>
      <c r="M16" s="61">
        <v>0.0</v>
      </c>
      <c r="N16" s="61">
        <v>1.3</v>
      </c>
      <c r="O16" s="61">
        <v>32.7</v>
      </c>
      <c r="P16" s="62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>
      <c r="A17" s="68" t="s">
        <v>126</v>
      </c>
      <c r="B17" s="69" t="s">
        <v>132</v>
      </c>
      <c r="C17" s="70"/>
      <c r="D17" s="70">
        <v>32.7</v>
      </c>
      <c r="E17" s="70">
        <v>0.0</v>
      </c>
      <c r="F17" s="70">
        <v>32.7</v>
      </c>
      <c r="G17" s="70">
        <v>5.0</v>
      </c>
      <c r="H17" s="70">
        <v>35.0</v>
      </c>
      <c r="I17" s="70">
        <v>18.0</v>
      </c>
      <c r="J17" s="70">
        <v>57.0</v>
      </c>
      <c r="K17" s="70">
        <v>32.7</v>
      </c>
      <c r="L17" s="70"/>
      <c r="M17" s="70">
        <v>0.0</v>
      </c>
      <c r="N17" s="70">
        <v>0.0</v>
      </c>
      <c r="O17" s="70">
        <v>32.7</v>
      </c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</row>
    <row r="18">
      <c r="B18" s="46" t="s">
        <v>132</v>
      </c>
      <c r="C18" s="35"/>
      <c r="D18" s="35">
        <v>32.7</v>
      </c>
      <c r="E18" s="35">
        <v>0.75</v>
      </c>
      <c r="F18" s="35">
        <v>33.45</v>
      </c>
      <c r="G18" s="35">
        <v>0.0</v>
      </c>
      <c r="H18" s="35">
        <v>1.0</v>
      </c>
      <c r="I18" s="35">
        <v>0.0</v>
      </c>
      <c r="J18" s="35">
        <v>0.0</v>
      </c>
      <c r="K18" s="35">
        <v>0.5</v>
      </c>
      <c r="L18" s="35">
        <v>0.25</v>
      </c>
      <c r="M18" s="35">
        <v>0.0</v>
      </c>
      <c r="N18" s="35">
        <v>0.0</v>
      </c>
      <c r="O18" s="35">
        <v>33.45</v>
      </c>
      <c r="P18" s="36"/>
    </row>
    <row r="19">
      <c r="B19" s="46" t="s">
        <v>133</v>
      </c>
      <c r="C19" s="35"/>
      <c r="D19" s="35">
        <v>33.45</v>
      </c>
      <c r="E19" s="35">
        <v>0.9</v>
      </c>
      <c r="F19" s="35">
        <v>34.35</v>
      </c>
      <c r="G19" s="35">
        <v>0.0</v>
      </c>
      <c r="H19" s="35">
        <v>1.0</v>
      </c>
      <c r="I19" s="35">
        <v>0.0</v>
      </c>
      <c r="J19" s="35">
        <v>0.0</v>
      </c>
      <c r="K19" s="35">
        <v>0.5</v>
      </c>
      <c r="L19" s="35">
        <v>0.4</v>
      </c>
      <c r="M19" s="35">
        <v>0.0</v>
      </c>
      <c r="N19" s="35">
        <v>0.0</v>
      </c>
      <c r="O19" s="35">
        <v>34.35</v>
      </c>
      <c r="P19" s="36"/>
    </row>
    <row r="20">
      <c r="A20" s="68" t="s">
        <v>126</v>
      </c>
      <c r="B20" s="69" t="s">
        <v>134</v>
      </c>
      <c r="C20" s="70"/>
      <c r="D20" s="70">
        <v>34.35</v>
      </c>
      <c r="E20" s="70">
        <v>0.0</v>
      </c>
      <c r="F20" s="70">
        <v>34.35</v>
      </c>
      <c r="G20" s="70">
        <v>5.0</v>
      </c>
      <c r="H20" s="70">
        <v>37.0</v>
      </c>
      <c r="I20" s="70">
        <v>18.0</v>
      </c>
      <c r="J20" s="70">
        <v>57.0</v>
      </c>
      <c r="K20" s="70">
        <v>33.7</v>
      </c>
      <c r="L20" s="70">
        <v>0.65</v>
      </c>
      <c r="M20" s="70">
        <v>0.0</v>
      </c>
      <c r="N20" s="70">
        <v>0.0</v>
      </c>
      <c r="O20" s="70">
        <v>34.35</v>
      </c>
      <c r="P20" s="71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</row>
    <row r="21">
      <c r="A21" s="27" t="s">
        <v>135</v>
      </c>
      <c r="B21" s="63" t="s">
        <v>134</v>
      </c>
      <c r="C21" s="61"/>
      <c r="D21" s="61">
        <v>34.35</v>
      </c>
      <c r="E21" s="61">
        <v>0.0</v>
      </c>
      <c r="F21" s="61">
        <v>34.35</v>
      </c>
      <c r="G21" s="62"/>
      <c r="H21" s="61">
        <v>-1.0</v>
      </c>
      <c r="I21" s="61">
        <v>0.0</v>
      </c>
      <c r="J21" s="61">
        <v>0.0</v>
      </c>
      <c r="K21" s="61">
        <v>-0.5</v>
      </c>
      <c r="L21" s="61">
        <v>-0.1</v>
      </c>
      <c r="M21" s="61">
        <v>-0.6</v>
      </c>
      <c r="N21" s="61">
        <v>0.0</v>
      </c>
      <c r="O21" s="61">
        <v>33.75</v>
      </c>
      <c r="P21" s="62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>
      <c r="A22" s="27" t="s">
        <v>136</v>
      </c>
      <c r="B22" s="63" t="s">
        <v>134</v>
      </c>
      <c r="C22" s="61"/>
      <c r="D22" s="61">
        <v>33.75</v>
      </c>
      <c r="E22" s="61">
        <v>0.0</v>
      </c>
      <c r="F22" s="61">
        <v>33.75</v>
      </c>
      <c r="G22" s="61">
        <v>-2.0</v>
      </c>
      <c r="H22" s="61">
        <v>-5.0</v>
      </c>
      <c r="I22" s="61">
        <v>-4.0</v>
      </c>
      <c r="J22" s="61">
        <v>-11.0</v>
      </c>
      <c r="K22" s="61">
        <v>-6.6</v>
      </c>
      <c r="L22" s="61">
        <v>0.0</v>
      </c>
      <c r="M22" s="61">
        <v>0.0</v>
      </c>
      <c r="N22" s="61">
        <v>6.6</v>
      </c>
      <c r="O22" s="61">
        <v>27.15</v>
      </c>
      <c r="P22" s="62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>
      <c r="A23" s="68" t="s">
        <v>126</v>
      </c>
      <c r="B23" s="69" t="s">
        <v>137</v>
      </c>
      <c r="C23" s="70"/>
      <c r="D23" s="70">
        <v>27.15</v>
      </c>
      <c r="E23" s="70">
        <v>0.0</v>
      </c>
      <c r="F23" s="70">
        <v>27.15</v>
      </c>
      <c r="G23" s="70">
        <v>3.0</v>
      </c>
      <c r="H23" s="70">
        <v>31.0</v>
      </c>
      <c r="I23" s="70">
        <v>14.0</v>
      </c>
      <c r="J23" s="70">
        <v>46.0</v>
      </c>
      <c r="K23" s="70">
        <v>26.6</v>
      </c>
      <c r="L23" s="70">
        <v>0.55</v>
      </c>
      <c r="M23" s="70">
        <v>0.0</v>
      </c>
      <c r="N23" s="70">
        <v>0.0</v>
      </c>
      <c r="O23" s="70">
        <v>27.15</v>
      </c>
      <c r="P23" s="71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</row>
    <row r="24">
      <c r="A24" s="7"/>
      <c r="B24" s="46" t="s">
        <v>137</v>
      </c>
      <c r="C24" s="35"/>
      <c r="D24" s="35">
        <v>27.15</v>
      </c>
      <c r="E24" s="35">
        <v>0.75</v>
      </c>
      <c r="F24" s="35">
        <v>27.9</v>
      </c>
      <c r="G24" s="35">
        <v>0.0</v>
      </c>
      <c r="H24" s="35">
        <v>0.0</v>
      </c>
      <c r="I24" s="35">
        <v>3.0</v>
      </c>
      <c r="J24" s="35">
        <v>0.0</v>
      </c>
      <c r="K24" s="35">
        <v>0.75</v>
      </c>
      <c r="L24" s="36"/>
      <c r="M24" s="35">
        <v>0.0</v>
      </c>
      <c r="N24" s="35">
        <v>0.0</v>
      </c>
      <c r="O24" s="35">
        <v>27.9</v>
      </c>
      <c r="P24" s="36"/>
    </row>
    <row r="25">
      <c r="A25" s="7" t="s">
        <v>138</v>
      </c>
      <c r="B25" s="46" t="s">
        <v>137</v>
      </c>
      <c r="C25" s="35"/>
      <c r="D25" s="35">
        <v>27.9</v>
      </c>
      <c r="E25" s="35">
        <v>0.0</v>
      </c>
      <c r="F25" s="35">
        <v>27.9</v>
      </c>
      <c r="G25" s="35">
        <v>1.0</v>
      </c>
      <c r="H25" s="35">
        <v>4.0</v>
      </c>
      <c r="I25" s="35">
        <v>3.0</v>
      </c>
      <c r="J25" s="35">
        <v>8.0</v>
      </c>
      <c r="K25" s="35">
        <v>4.55</v>
      </c>
      <c r="L25" s="35">
        <v>0.0</v>
      </c>
      <c r="M25" s="35">
        <v>0.0</v>
      </c>
      <c r="N25" s="35">
        <v>0.0</v>
      </c>
      <c r="O25" s="35">
        <v>32.45</v>
      </c>
      <c r="P25" s="36"/>
    </row>
    <row r="26">
      <c r="A26" s="68" t="s">
        <v>126</v>
      </c>
      <c r="B26" s="69" t="s">
        <v>139</v>
      </c>
      <c r="C26" s="70"/>
      <c r="D26" s="70">
        <v>32.45</v>
      </c>
      <c r="E26" s="70">
        <v>0.0</v>
      </c>
      <c r="F26" s="70">
        <v>32.45</v>
      </c>
      <c r="G26" s="70">
        <v>4.0</v>
      </c>
      <c r="H26" s="70">
        <v>35.0</v>
      </c>
      <c r="I26" s="70">
        <v>20.0</v>
      </c>
      <c r="J26" s="70">
        <v>54.0</v>
      </c>
      <c r="K26" s="70">
        <v>31.9</v>
      </c>
      <c r="L26" s="70">
        <v>0.55</v>
      </c>
      <c r="M26" s="70">
        <v>0.0</v>
      </c>
      <c r="N26" s="70">
        <v>0.0</v>
      </c>
      <c r="O26" s="70">
        <v>32.45</v>
      </c>
      <c r="P26" s="71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</row>
    <row r="27">
      <c r="B27" s="46" t="s">
        <v>139</v>
      </c>
      <c r="C27" s="35"/>
      <c r="D27" s="35">
        <v>32.45</v>
      </c>
      <c r="E27" s="35">
        <v>0.5</v>
      </c>
      <c r="F27" s="35">
        <v>32.95</v>
      </c>
      <c r="G27" s="35">
        <v>0.0</v>
      </c>
      <c r="H27" s="35">
        <v>0.0</v>
      </c>
      <c r="I27" s="35">
        <v>2.0</v>
      </c>
      <c r="J27" s="35">
        <v>0.0</v>
      </c>
      <c r="K27" s="35">
        <v>0.5</v>
      </c>
      <c r="L27" s="35">
        <v>0.0</v>
      </c>
      <c r="M27" s="35">
        <v>0.0</v>
      </c>
      <c r="N27" s="35">
        <v>0.0</v>
      </c>
      <c r="O27" s="35">
        <v>32.95</v>
      </c>
      <c r="P27" s="36"/>
    </row>
    <row r="28">
      <c r="A28" s="7" t="s">
        <v>140</v>
      </c>
      <c r="B28" s="46" t="s">
        <v>139</v>
      </c>
      <c r="C28" s="35"/>
      <c r="D28" s="35">
        <v>32.95</v>
      </c>
      <c r="E28" s="35">
        <v>0.0</v>
      </c>
      <c r="F28" s="35">
        <v>32.95</v>
      </c>
      <c r="G28" s="35">
        <v>0.0</v>
      </c>
      <c r="H28" s="35">
        <v>0.0</v>
      </c>
      <c r="I28" s="35">
        <v>1.0</v>
      </c>
      <c r="J28" s="35">
        <v>3.0</v>
      </c>
      <c r="K28" s="35">
        <v>0.55</v>
      </c>
      <c r="L28" s="35">
        <v>0.0</v>
      </c>
      <c r="M28" s="35">
        <v>0.0</v>
      </c>
      <c r="N28" s="35">
        <v>0.0</v>
      </c>
      <c r="O28" s="35">
        <v>33.5</v>
      </c>
      <c r="P28" s="36"/>
    </row>
    <row r="29">
      <c r="B29" s="46" t="s">
        <v>141</v>
      </c>
      <c r="C29" s="35"/>
      <c r="D29" s="35">
        <v>33.5</v>
      </c>
      <c r="E29" s="35">
        <v>0.5</v>
      </c>
      <c r="F29" s="35">
        <v>34.0</v>
      </c>
      <c r="G29" s="35">
        <v>0.0</v>
      </c>
      <c r="H29" s="35">
        <v>1.0</v>
      </c>
      <c r="I29" s="35">
        <v>0.0</v>
      </c>
      <c r="J29" s="35">
        <v>0.0</v>
      </c>
      <c r="K29" s="35">
        <v>0.5</v>
      </c>
      <c r="L29" s="35">
        <v>0.0</v>
      </c>
      <c r="M29" s="35">
        <v>0.0</v>
      </c>
      <c r="N29" s="35">
        <v>0.0</v>
      </c>
      <c r="O29" s="35">
        <v>34.0</v>
      </c>
      <c r="P29" s="36"/>
    </row>
    <row r="30">
      <c r="B30" s="46" t="s">
        <v>142</v>
      </c>
      <c r="C30" s="35"/>
      <c r="D30" s="35">
        <v>34.0</v>
      </c>
      <c r="E30" s="35">
        <v>0.5</v>
      </c>
      <c r="F30" s="35">
        <v>34.5</v>
      </c>
      <c r="G30" s="35">
        <v>0.0</v>
      </c>
      <c r="H30" s="35">
        <v>1.0</v>
      </c>
      <c r="I30" s="35">
        <v>0.0</v>
      </c>
      <c r="J30" s="35">
        <v>0.0</v>
      </c>
      <c r="K30" s="35">
        <v>0.5</v>
      </c>
      <c r="L30" s="35">
        <v>0.0</v>
      </c>
      <c r="M30" s="35">
        <v>0.0</v>
      </c>
      <c r="N30" s="35">
        <v>0.0</v>
      </c>
      <c r="O30" s="35">
        <v>34.5</v>
      </c>
      <c r="P30" s="36"/>
    </row>
    <row r="31">
      <c r="A31" s="70" t="s">
        <v>126</v>
      </c>
      <c r="B31" s="69" t="s">
        <v>143</v>
      </c>
      <c r="C31" s="70"/>
      <c r="D31" s="70">
        <v>34.5</v>
      </c>
      <c r="E31" s="70">
        <v>0.0</v>
      </c>
      <c r="F31" s="70">
        <v>34.5</v>
      </c>
      <c r="G31" s="70">
        <v>4.0</v>
      </c>
      <c r="H31" s="70">
        <v>37.0</v>
      </c>
      <c r="I31" s="70">
        <v>23.0</v>
      </c>
      <c r="J31" s="70">
        <v>57.0</v>
      </c>
      <c r="K31" s="70">
        <v>33.95</v>
      </c>
      <c r="L31" s="70">
        <v>0.55</v>
      </c>
      <c r="M31" s="70">
        <v>0.0</v>
      </c>
      <c r="N31" s="70">
        <v>0.0</v>
      </c>
      <c r="O31" s="70">
        <v>34.5</v>
      </c>
      <c r="P31" s="71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>
      <c r="A32" s="36"/>
      <c r="B32" s="46" t="s">
        <v>143</v>
      </c>
      <c r="C32" s="35"/>
      <c r="D32" s="35">
        <v>34.5</v>
      </c>
      <c r="E32" s="35">
        <v>0.5</v>
      </c>
      <c r="F32" s="35">
        <v>35.0</v>
      </c>
      <c r="G32" s="35">
        <v>0.0</v>
      </c>
      <c r="H32" s="35">
        <v>1.0</v>
      </c>
      <c r="I32" s="35">
        <v>0.0</v>
      </c>
      <c r="J32" s="35">
        <v>0.0</v>
      </c>
      <c r="K32" s="35">
        <v>0.5</v>
      </c>
      <c r="L32" s="35">
        <v>0.0</v>
      </c>
      <c r="M32" s="35">
        <v>0.0</v>
      </c>
      <c r="N32" s="35">
        <v>0.0</v>
      </c>
      <c r="O32" s="35">
        <v>35.0</v>
      </c>
      <c r="P32" s="36"/>
    </row>
    <row r="33">
      <c r="A33" s="61" t="s">
        <v>135</v>
      </c>
      <c r="B33" s="60">
        <v>46026.0</v>
      </c>
      <c r="C33" s="61"/>
      <c r="D33" s="61">
        <v>35.0</v>
      </c>
      <c r="E33" s="61">
        <v>0.0</v>
      </c>
      <c r="F33" s="61">
        <v>35.0</v>
      </c>
      <c r="G33" s="61">
        <v>0.0</v>
      </c>
      <c r="H33" s="61">
        <v>0.0</v>
      </c>
      <c r="I33" s="61">
        <v>0.0</v>
      </c>
      <c r="J33" s="61">
        <v>-1.0</v>
      </c>
      <c r="K33" s="61">
        <v>0.1</v>
      </c>
      <c r="L33" s="61">
        <v>0.0</v>
      </c>
      <c r="M33" s="61">
        <v>0.0</v>
      </c>
      <c r="N33" s="61">
        <v>0.1</v>
      </c>
      <c r="O33" s="61">
        <v>34.9</v>
      </c>
      <c r="P33" s="62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>
      <c r="A34" s="36"/>
      <c r="B34" s="59">
        <v>46026.0</v>
      </c>
      <c r="C34" s="35"/>
      <c r="D34" s="35">
        <v>34.9</v>
      </c>
      <c r="E34" s="35">
        <v>0.5</v>
      </c>
      <c r="F34" s="35">
        <v>35.4</v>
      </c>
      <c r="G34" s="35">
        <v>0.0</v>
      </c>
      <c r="H34" s="35">
        <v>0.0</v>
      </c>
      <c r="I34" s="35">
        <v>2.0</v>
      </c>
      <c r="J34" s="35">
        <v>0.0</v>
      </c>
      <c r="K34" s="35">
        <v>0.5</v>
      </c>
      <c r="L34" s="35">
        <v>0.0</v>
      </c>
      <c r="M34" s="35">
        <v>0.0</v>
      </c>
      <c r="N34" s="35">
        <v>0.0</v>
      </c>
      <c r="O34" s="35">
        <v>35.4</v>
      </c>
      <c r="P34" s="36"/>
    </row>
    <row r="35">
      <c r="A35" s="70" t="s">
        <v>126</v>
      </c>
      <c r="B35" s="74">
        <v>46057.0</v>
      </c>
      <c r="C35" s="70"/>
      <c r="D35" s="70">
        <v>35.4</v>
      </c>
      <c r="E35" s="70">
        <v>0.0</v>
      </c>
      <c r="F35" s="70">
        <v>35.4</v>
      </c>
      <c r="G35" s="70">
        <v>4.0</v>
      </c>
      <c r="H35" s="70">
        <v>38.0</v>
      </c>
      <c r="I35" s="70">
        <v>25.0</v>
      </c>
      <c r="J35" s="70">
        <v>56.0</v>
      </c>
      <c r="K35" s="70">
        <v>34.85</v>
      </c>
      <c r="L35" s="70">
        <v>0.55</v>
      </c>
      <c r="M35" s="70">
        <v>0.0</v>
      </c>
      <c r="N35" s="70">
        <v>0.0</v>
      </c>
      <c r="O35" s="70">
        <v>35.4</v>
      </c>
      <c r="P35" s="71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</row>
    <row r="36">
      <c r="A36" s="36"/>
      <c r="B36" s="59">
        <v>46116.0</v>
      </c>
      <c r="C36" s="35"/>
      <c r="D36" s="35">
        <v>35.4</v>
      </c>
      <c r="E36" s="35">
        <v>0.5</v>
      </c>
      <c r="F36" s="35">
        <v>35.9</v>
      </c>
      <c r="G36" s="35">
        <v>0.0</v>
      </c>
      <c r="H36" s="35">
        <v>0.0</v>
      </c>
      <c r="I36" s="35">
        <v>2.0</v>
      </c>
      <c r="J36" s="35">
        <v>0.0</v>
      </c>
      <c r="K36" s="35">
        <v>0.5</v>
      </c>
      <c r="L36" s="35">
        <v>0.0</v>
      </c>
      <c r="M36" s="35">
        <v>0.0</v>
      </c>
      <c r="N36" s="35">
        <v>0.0</v>
      </c>
      <c r="O36" s="35">
        <v>35.9</v>
      </c>
      <c r="P36" s="36"/>
    </row>
    <row r="37">
      <c r="A37" s="36"/>
      <c r="B37" s="59">
        <v>46146.0</v>
      </c>
      <c r="C37" s="35"/>
      <c r="D37" s="35">
        <v>35.9</v>
      </c>
      <c r="E37" s="35">
        <v>0.8</v>
      </c>
      <c r="F37" s="35">
        <v>36.7</v>
      </c>
      <c r="G37" s="35">
        <v>0.0</v>
      </c>
      <c r="H37" s="35">
        <v>0.0</v>
      </c>
      <c r="I37" s="35">
        <v>0.0</v>
      </c>
      <c r="J37" s="35">
        <v>0.0</v>
      </c>
      <c r="K37" s="35">
        <v>0.0</v>
      </c>
      <c r="L37" s="35">
        <v>0.8</v>
      </c>
      <c r="M37" s="35">
        <v>0.0</v>
      </c>
      <c r="N37" s="35">
        <v>0.0</v>
      </c>
      <c r="O37" s="35">
        <v>36.7</v>
      </c>
      <c r="P37" s="36"/>
    </row>
    <row r="38">
      <c r="A38" s="61" t="s">
        <v>135</v>
      </c>
      <c r="B38" s="60">
        <v>46146.0</v>
      </c>
      <c r="C38" s="61"/>
      <c r="D38" s="61">
        <v>36.7</v>
      </c>
      <c r="E38" s="61">
        <v>0.0</v>
      </c>
      <c r="F38" s="61">
        <v>36.7</v>
      </c>
      <c r="G38" s="61">
        <v>0.0</v>
      </c>
      <c r="H38" s="61">
        <v>0.0</v>
      </c>
      <c r="I38" s="61">
        <v>0.0</v>
      </c>
      <c r="J38" s="61">
        <v>0.0</v>
      </c>
      <c r="K38" s="61">
        <v>0.0</v>
      </c>
      <c r="L38" s="61">
        <v>-0.8</v>
      </c>
      <c r="M38" s="61">
        <v>0.0</v>
      </c>
      <c r="N38" s="61">
        <v>0.8</v>
      </c>
      <c r="O38" s="61">
        <v>35.9</v>
      </c>
      <c r="P38" s="62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>
      <c r="A39" s="70" t="s">
        <v>126</v>
      </c>
      <c r="B39" s="74">
        <v>46177.0</v>
      </c>
      <c r="C39" s="70"/>
      <c r="D39" s="70">
        <v>35.9</v>
      </c>
      <c r="E39" s="70">
        <v>0.0</v>
      </c>
      <c r="F39" s="70">
        <v>35.9</v>
      </c>
      <c r="G39" s="70">
        <v>4.0</v>
      </c>
      <c r="H39" s="70">
        <v>38.0</v>
      </c>
      <c r="I39" s="70">
        <v>27.0</v>
      </c>
      <c r="J39" s="70">
        <v>56.0</v>
      </c>
      <c r="K39" s="70">
        <v>35.35</v>
      </c>
      <c r="L39" s="70">
        <v>0.55</v>
      </c>
      <c r="M39" s="70">
        <v>0.0</v>
      </c>
      <c r="N39" s="70">
        <v>0.0</v>
      </c>
      <c r="O39" s="70">
        <v>35.9</v>
      </c>
      <c r="P39" s="71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</row>
    <row r="40">
      <c r="A40" s="36"/>
      <c r="B40" s="59">
        <v>46207.0</v>
      </c>
      <c r="C40" s="35"/>
      <c r="D40" s="35">
        <v>35.9</v>
      </c>
      <c r="E40" s="35">
        <v>0.2</v>
      </c>
      <c r="F40" s="35">
        <v>36.1</v>
      </c>
      <c r="G40" s="35">
        <v>0.0</v>
      </c>
      <c r="H40" s="35">
        <v>0.0</v>
      </c>
      <c r="I40" s="35">
        <v>0.0</v>
      </c>
      <c r="J40" s="35">
        <v>0.0</v>
      </c>
      <c r="K40" s="35">
        <v>0.0</v>
      </c>
      <c r="L40" s="35">
        <v>0.2</v>
      </c>
      <c r="M40" s="35">
        <v>0.0</v>
      </c>
      <c r="N40" s="35">
        <v>0.0</v>
      </c>
      <c r="O40" s="35">
        <v>36.1</v>
      </c>
      <c r="P40" s="36"/>
    </row>
    <row r="41">
      <c r="A41" s="61" t="s">
        <v>144</v>
      </c>
      <c r="B41" s="60">
        <v>46207.0</v>
      </c>
      <c r="C41" s="61"/>
      <c r="D41" s="61">
        <v>36.1</v>
      </c>
      <c r="E41" s="61">
        <v>0.0</v>
      </c>
      <c r="F41" s="61">
        <v>36.1</v>
      </c>
      <c r="G41" s="61">
        <v>0.0</v>
      </c>
      <c r="H41" s="61">
        <v>-2.0</v>
      </c>
      <c r="I41" s="61">
        <v>0.0</v>
      </c>
      <c r="J41" s="61">
        <v>-1.0</v>
      </c>
      <c r="K41" s="61">
        <v>1.1</v>
      </c>
      <c r="L41" s="61">
        <v>-0.073</v>
      </c>
      <c r="M41" s="61">
        <v>-1.0</v>
      </c>
      <c r="N41" s="61">
        <v>0.0</v>
      </c>
      <c r="O41" s="61">
        <v>34.927</v>
      </c>
      <c r="P41" s="62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>
      <c r="A42" s="70" t="s">
        <v>145</v>
      </c>
      <c r="B42" s="74">
        <v>46238.0</v>
      </c>
      <c r="C42" s="70"/>
      <c r="D42" s="70">
        <v>34.927</v>
      </c>
      <c r="E42" s="70">
        <v>0.0</v>
      </c>
      <c r="F42" s="70">
        <v>34.927</v>
      </c>
      <c r="G42" s="70">
        <v>4.0</v>
      </c>
      <c r="H42" s="70">
        <v>36.0</v>
      </c>
      <c r="I42" s="70">
        <v>27.0</v>
      </c>
      <c r="J42" s="70">
        <v>55.0</v>
      </c>
      <c r="K42" s="70">
        <v>34.25</v>
      </c>
      <c r="L42" s="70">
        <v>0.677</v>
      </c>
      <c r="M42" s="70">
        <v>0.0</v>
      </c>
      <c r="N42" s="70">
        <v>0.0</v>
      </c>
      <c r="O42" s="70">
        <v>34.927</v>
      </c>
      <c r="P42" s="71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</row>
    <row r="43">
      <c r="A43" s="36"/>
      <c r="B43" s="59">
        <v>46269.0</v>
      </c>
      <c r="C43" s="35"/>
      <c r="D43" s="35">
        <v>34.927</v>
      </c>
      <c r="E43" s="35">
        <v>0.25</v>
      </c>
      <c r="F43" s="35">
        <v>35.177</v>
      </c>
      <c r="G43" s="35">
        <v>0.0</v>
      </c>
      <c r="H43" s="35">
        <v>0.0</v>
      </c>
      <c r="I43" s="35">
        <v>1.0</v>
      </c>
      <c r="J43" s="35">
        <v>0.0</v>
      </c>
      <c r="K43" s="35">
        <v>0.25</v>
      </c>
      <c r="L43" s="35">
        <v>0.0</v>
      </c>
      <c r="M43" s="35">
        <v>0.0</v>
      </c>
      <c r="N43" s="35">
        <v>0.0</v>
      </c>
      <c r="O43" s="35">
        <v>35.177</v>
      </c>
      <c r="P43" s="36"/>
    </row>
    <row r="44">
      <c r="A44" s="36"/>
      <c r="B44" s="59">
        <v>46299.0</v>
      </c>
      <c r="C44" s="35"/>
      <c r="D44" s="35">
        <v>35.177</v>
      </c>
      <c r="E44" s="35">
        <v>0.265</v>
      </c>
      <c r="F44" s="35">
        <v>35.442</v>
      </c>
      <c r="G44" s="35">
        <v>0.0</v>
      </c>
      <c r="H44" s="35">
        <v>0.0</v>
      </c>
      <c r="I44" s="35">
        <v>1.0</v>
      </c>
      <c r="J44" s="35">
        <v>0.0</v>
      </c>
      <c r="K44" s="35">
        <v>0.25</v>
      </c>
      <c r="L44" s="35">
        <v>0.015</v>
      </c>
      <c r="M44" s="35">
        <v>0.0</v>
      </c>
      <c r="N44" s="35">
        <v>0.0</v>
      </c>
      <c r="O44" s="35">
        <v>35.442</v>
      </c>
      <c r="P44" s="36"/>
    </row>
    <row r="45">
      <c r="A45" s="61" t="s">
        <v>146</v>
      </c>
      <c r="B45" s="60">
        <v>46330.0</v>
      </c>
      <c r="C45" s="61"/>
      <c r="D45" s="61">
        <v>35.442</v>
      </c>
      <c r="E45" s="61">
        <v>0.0</v>
      </c>
      <c r="F45" s="61">
        <v>35.442</v>
      </c>
      <c r="G45" s="61">
        <v>0.0</v>
      </c>
      <c r="H45" s="61">
        <v>0.0</v>
      </c>
      <c r="I45" s="61">
        <v>0.0</v>
      </c>
      <c r="J45" s="61">
        <v>-4.0</v>
      </c>
      <c r="K45" s="61">
        <v>0.4</v>
      </c>
      <c r="L45" s="61">
        <v>0.0</v>
      </c>
      <c r="M45" s="61">
        <v>-0.4</v>
      </c>
      <c r="N45" s="61">
        <v>0.0</v>
      </c>
      <c r="O45" s="61">
        <v>35.042</v>
      </c>
      <c r="P45" s="62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>
      <c r="A46" s="70" t="s">
        <v>126</v>
      </c>
      <c r="B46" s="69" t="s">
        <v>62</v>
      </c>
      <c r="C46" s="70"/>
      <c r="D46" s="70">
        <v>35.042</v>
      </c>
      <c r="E46" s="70">
        <v>0.0</v>
      </c>
      <c r="F46" s="70">
        <v>35.042</v>
      </c>
      <c r="G46" s="70">
        <v>4.0</v>
      </c>
      <c r="H46" s="70">
        <v>36.0</v>
      </c>
      <c r="I46" s="70">
        <v>29.0</v>
      </c>
      <c r="J46" s="70">
        <v>51.0</v>
      </c>
      <c r="K46" s="70">
        <v>34.35</v>
      </c>
      <c r="L46" s="70">
        <v>0.692</v>
      </c>
      <c r="M46" s="70">
        <v>0.0</v>
      </c>
      <c r="N46" s="70">
        <v>0.0</v>
      </c>
      <c r="O46" s="70">
        <v>35.042</v>
      </c>
      <c r="P46" s="71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</row>
    <row r="47">
      <c r="A47" s="36"/>
      <c r="B47" s="46" t="s">
        <v>63</v>
      </c>
      <c r="C47" s="35"/>
      <c r="D47" s="35">
        <v>35.042</v>
      </c>
      <c r="E47" s="35">
        <v>0.392</v>
      </c>
      <c r="F47" s="35">
        <v>35.434</v>
      </c>
      <c r="G47" s="35">
        <v>0.0</v>
      </c>
      <c r="H47" s="35">
        <v>0.0</v>
      </c>
      <c r="I47" s="35">
        <v>1.0</v>
      </c>
      <c r="J47" s="35">
        <v>0.0</v>
      </c>
      <c r="K47" s="35">
        <v>0.25</v>
      </c>
      <c r="L47" s="35">
        <v>0.142</v>
      </c>
      <c r="M47" s="35">
        <v>0.0</v>
      </c>
      <c r="N47" s="35">
        <v>0.0</v>
      </c>
      <c r="O47" s="35">
        <v>35.434</v>
      </c>
      <c r="P47" s="36"/>
    </row>
    <row r="48">
      <c r="A48" s="36"/>
      <c r="B48" s="46" t="s">
        <v>65</v>
      </c>
      <c r="C48" s="35"/>
      <c r="D48" s="35">
        <v>35.434</v>
      </c>
      <c r="E48" s="35">
        <v>0.365</v>
      </c>
      <c r="F48" s="35">
        <v>35.799</v>
      </c>
      <c r="G48" s="35">
        <v>0.0</v>
      </c>
      <c r="H48" s="35">
        <v>0.0</v>
      </c>
      <c r="I48" s="35">
        <v>1.0</v>
      </c>
      <c r="J48" s="35">
        <v>0.0</v>
      </c>
      <c r="K48" s="35">
        <v>0.25</v>
      </c>
      <c r="L48" s="35">
        <v>0.115</v>
      </c>
      <c r="M48" s="35">
        <v>0.0</v>
      </c>
      <c r="N48" s="35">
        <v>0.0</v>
      </c>
      <c r="O48" s="35">
        <v>35.799</v>
      </c>
      <c r="P48" s="36"/>
    </row>
    <row r="49">
      <c r="A49" s="75"/>
      <c r="B49" s="46" t="s">
        <v>67</v>
      </c>
      <c r="C49" s="35"/>
      <c r="D49" s="35">
        <v>35.799</v>
      </c>
      <c r="E49" s="35">
        <v>0.6</v>
      </c>
      <c r="F49" s="35">
        <v>36.399</v>
      </c>
      <c r="G49" s="35">
        <v>0.0</v>
      </c>
      <c r="H49" s="35">
        <v>1.0</v>
      </c>
      <c r="I49" s="35">
        <v>0.0</v>
      </c>
      <c r="J49" s="35">
        <v>0.0</v>
      </c>
      <c r="K49" s="35">
        <v>0.5</v>
      </c>
      <c r="L49" s="35">
        <v>0.1</v>
      </c>
      <c r="M49" s="35">
        <v>0.0</v>
      </c>
      <c r="N49" s="35">
        <v>0.0</v>
      </c>
      <c r="O49" s="35">
        <v>36.399</v>
      </c>
      <c r="P49" s="36"/>
    </row>
    <row r="50" ht="15.75" customHeight="1">
      <c r="A50" s="76" t="s">
        <v>147</v>
      </c>
      <c r="B50" s="77" t="s">
        <v>69</v>
      </c>
      <c r="C50" s="76"/>
      <c r="D50" s="76">
        <v>36.399</v>
      </c>
      <c r="E50" s="76">
        <v>0.0</v>
      </c>
      <c r="F50" s="76">
        <v>36.399</v>
      </c>
      <c r="G50" s="76">
        <v>0.0</v>
      </c>
      <c r="H50" s="76">
        <v>-6.0</v>
      </c>
      <c r="I50" s="76">
        <v>-5.0</v>
      </c>
      <c r="J50" s="76">
        <v>0.0</v>
      </c>
      <c r="K50" s="76">
        <v>4.25</v>
      </c>
      <c r="L50" s="76">
        <v>0.0</v>
      </c>
      <c r="M50" s="76">
        <v>0.0</v>
      </c>
      <c r="N50" s="76">
        <v>-4.25</v>
      </c>
      <c r="O50" s="76">
        <v>32.149</v>
      </c>
      <c r="P50" s="78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</row>
    <row r="51">
      <c r="A51" s="70" t="s">
        <v>126</v>
      </c>
      <c r="B51" s="80" t="s">
        <v>69</v>
      </c>
      <c r="C51" s="81"/>
      <c r="D51" s="81">
        <v>32.149</v>
      </c>
      <c r="E51" s="81">
        <v>0.0</v>
      </c>
      <c r="F51" s="81">
        <v>32.149</v>
      </c>
      <c r="G51" s="81">
        <v>4.0</v>
      </c>
      <c r="H51" s="81">
        <v>31.0</v>
      </c>
      <c r="I51" s="81">
        <v>26.0</v>
      </c>
      <c r="J51" s="81">
        <v>51.0</v>
      </c>
      <c r="K51" s="81">
        <v>31.1</v>
      </c>
      <c r="L51" s="81">
        <v>1.049</v>
      </c>
      <c r="M51" s="81">
        <v>0.0</v>
      </c>
      <c r="N51" s="81">
        <v>0.0</v>
      </c>
      <c r="O51" s="81">
        <v>32.149</v>
      </c>
      <c r="P51" s="82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</row>
    <row r="52">
      <c r="A52" s="36"/>
      <c r="B52" s="46" t="s">
        <v>70</v>
      </c>
      <c r="C52" s="35"/>
      <c r="D52" s="35">
        <v>32.149</v>
      </c>
      <c r="E52" s="35">
        <v>0.45</v>
      </c>
      <c r="F52" s="35">
        <v>32.599</v>
      </c>
      <c r="G52" s="35">
        <v>0.0</v>
      </c>
      <c r="H52" s="35">
        <v>1.0</v>
      </c>
      <c r="I52" s="35">
        <v>0.0</v>
      </c>
      <c r="J52" s="35">
        <v>0.0</v>
      </c>
      <c r="K52" s="35">
        <v>0.5</v>
      </c>
      <c r="L52" s="35">
        <v>-0.05</v>
      </c>
      <c r="M52" s="35">
        <v>0.0</v>
      </c>
      <c r="N52" s="35">
        <v>0.0</v>
      </c>
      <c r="O52" s="35">
        <v>32.549</v>
      </c>
      <c r="P52" s="36"/>
    </row>
    <row r="53">
      <c r="A53" s="36"/>
      <c r="B53" s="46" t="s">
        <v>71</v>
      </c>
      <c r="C53" s="35"/>
      <c r="D53" s="35">
        <v>32.549</v>
      </c>
      <c r="E53" s="35">
        <v>0.445</v>
      </c>
      <c r="F53" s="35">
        <v>32.994</v>
      </c>
      <c r="G53" s="35">
        <v>0.0</v>
      </c>
      <c r="H53" s="35">
        <v>1.0</v>
      </c>
      <c r="I53" s="35">
        <v>0.0</v>
      </c>
      <c r="J53" s="35">
        <v>0.0</v>
      </c>
      <c r="K53" s="35">
        <v>0.5</v>
      </c>
      <c r="L53" s="35">
        <v>-0.055</v>
      </c>
      <c r="M53" s="35">
        <v>0.0</v>
      </c>
      <c r="N53" s="35">
        <v>0.0</v>
      </c>
      <c r="O53" s="35">
        <v>32.939</v>
      </c>
    </row>
    <row r="54">
      <c r="A54" s="36"/>
      <c r="B54" s="46" t="s">
        <v>148</v>
      </c>
      <c r="C54" s="35"/>
      <c r="D54" s="35">
        <v>32.939</v>
      </c>
      <c r="E54" s="35">
        <v>0.445</v>
      </c>
      <c r="F54" s="35">
        <v>33.384</v>
      </c>
      <c r="G54" s="35">
        <v>0.0</v>
      </c>
      <c r="H54" s="35">
        <v>1.0</v>
      </c>
      <c r="I54" s="35">
        <v>0.0</v>
      </c>
      <c r="J54" s="35">
        <v>0.0</v>
      </c>
      <c r="K54" s="35">
        <v>0.5</v>
      </c>
      <c r="L54" s="35">
        <v>-0.055</v>
      </c>
      <c r="M54" s="35">
        <v>0.0</v>
      </c>
      <c r="N54" s="35">
        <v>0.0</v>
      </c>
      <c r="O54" s="35">
        <v>33.329</v>
      </c>
      <c r="P54" s="36"/>
    </row>
    <row r="55">
      <c r="A55" s="61" t="s">
        <v>149</v>
      </c>
      <c r="B55" s="63" t="s">
        <v>150</v>
      </c>
      <c r="C55" s="61"/>
      <c r="D55" s="61">
        <v>33.329</v>
      </c>
      <c r="E55" s="61">
        <v>0.0</v>
      </c>
      <c r="F55" s="61">
        <v>33.329</v>
      </c>
      <c r="G55" s="61">
        <v>0.0</v>
      </c>
      <c r="H55" s="61">
        <v>-1.0</v>
      </c>
      <c r="I55" s="61">
        <v>0.0</v>
      </c>
      <c r="J55" s="61">
        <v>0.0</v>
      </c>
      <c r="K55" s="61">
        <v>0.5</v>
      </c>
      <c r="L55" s="61">
        <v>0.0</v>
      </c>
      <c r="M55" s="61">
        <v>-0.5</v>
      </c>
      <c r="N55" s="61">
        <v>0.0</v>
      </c>
      <c r="O55" s="61">
        <v>32.829</v>
      </c>
      <c r="P55" s="62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>
      <c r="A56" s="70" t="s">
        <v>126</v>
      </c>
      <c r="B56" s="69" t="s">
        <v>74</v>
      </c>
      <c r="C56" s="70"/>
      <c r="D56" s="70">
        <v>32.989</v>
      </c>
      <c r="E56" s="70">
        <v>0.0</v>
      </c>
      <c r="F56" s="70">
        <v>32.989</v>
      </c>
      <c r="G56" s="70">
        <v>4.0</v>
      </c>
      <c r="H56" s="70">
        <v>33.0</v>
      </c>
      <c r="I56" s="70">
        <v>26.0</v>
      </c>
      <c r="J56" s="70">
        <v>51.0</v>
      </c>
      <c r="K56" s="70">
        <v>32.1</v>
      </c>
      <c r="L56" s="70">
        <v>0.889</v>
      </c>
      <c r="M56" s="70">
        <v>0.0</v>
      </c>
      <c r="N56" s="70">
        <v>0.0</v>
      </c>
      <c r="O56" s="70">
        <v>32.989</v>
      </c>
      <c r="P56" s="71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</row>
    <row r="57">
      <c r="A57" s="36"/>
      <c r="B57" s="46" t="s">
        <v>77</v>
      </c>
      <c r="C57" s="35"/>
      <c r="D57" s="35">
        <v>32.989</v>
      </c>
      <c r="E57" s="35">
        <v>0.545</v>
      </c>
      <c r="F57" s="35">
        <v>33.534</v>
      </c>
      <c r="G57" s="35">
        <v>0.0</v>
      </c>
      <c r="H57" s="35">
        <v>1.0</v>
      </c>
      <c r="I57" s="35">
        <v>0.0</v>
      </c>
      <c r="J57" s="35">
        <v>0.0</v>
      </c>
      <c r="K57" s="35">
        <v>0.5</v>
      </c>
      <c r="L57" s="35">
        <v>0.045</v>
      </c>
      <c r="M57" s="35">
        <v>0.0</v>
      </c>
      <c r="N57" s="35">
        <v>0.0</v>
      </c>
      <c r="O57" s="35">
        <v>33.534</v>
      </c>
      <c r="P57" s="36"/>
    </row>
    <row r="58">
      <c r="A58" s="36"/>
      <c r="B58" s="46" t="s">
        <v>79</v>
      </c>
      <c r="C58" s="35"/>
      <c r="D58" s="35">
        <v>33.534</v>
      </c>
      <c r="E58" s="35">
        <v>0.5</v>
      </c>
      <c r="F58" s="35">
        <v>34.034</v>
      </c>
      <c r="G58" s="35">
        <v>0.0</v>
      </c>
      <c r="H58" s="35">
        <v>1.0</v>
      </c>
      <c r="I58" s="35">
        <v>0.0</v>
      </c>
      <c r="J58" s="35">
        <v>0.0</v>
      </c>
      <c r="K58" s="35">
        <v>0.5</v>
      </c>
      <c r="L58" s="35">
        <v>0.0</v>
      </c>
      <c r="M58" s="35">
        <v>0.0</v>
      </c>
      <c r="N58" s="35">
        <v>0.0</v>
      </c>
      <c r="O58" s="35">
        <v>34.034</v>
      </c>
      <c r="P58" s="36"/>
    </row>
    <row r="59">
      <c r="A59" s="61" t="s">
        <v>130</v>
      </c>
      <c r="B59" s="63" t="s">
        <v>79</v>
      </c>
      <c r="C59" s="61"/>
      <c r="D59" s="61">
        <v>34.034</v>
      </c>
      <c r="E59" s="61">
        <v>0.0</v>
      </c>
      <c r="F59" s="61">
        <v>34.034</v>
      </c>
      <c r="G59" s="61">
        <v>0.0</v>
      </c>
      <c r="H59" s="61">
        <v>-3.0</v>
      </c>
      <c r="I59" s="61">
        <v>-4.0</v>
      </c>
      <c r="J59" s="61">
        <v>-6.0</v>
      </c>
      <c r="K59" s="61">
        <v>3.1</v>
      </c>
      <c r="L59" s="61">
        <v>0.0</v>
      </c>
      <c r="M59" s="61">
        <v>0.0</v>
      </c>
      <c r="N59" s="61">
        <v>-3.1</v>
      </c>
      <c r="O59" s="61">
        <v>30.934</v>
      </c>
      <c r="P59" s="62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>
      <c r="A60" s="70" t="s">
        <v>126</v>
      </c>
      <c r="B60" s="69" t="s">
        <v>79</v>
      </c>
      <c r="C60" s="70"/>
      <c r="D60" s="70">
        <v>30.934</v>
      </c>
      <c r="E60" s="70">
        <v>0.0</v>
      </c>
      <c r="F60" s="70">
        <v>30.934</v>
      </c>
      <c r="G60" s="70">
        <v>4.0</v>
      </c>
      <c r="H60" s="70">
        <v>32.0</v>
      </c>
      <c r="I60" s="70">
        <v>22.0</v>
      </c>
      <c r="J60" s="70">
        <v>45.0</v>
      </c>
      <c r="K60" s="70">
        <v>30.0</v>
      </c>
      <c r="L60" s="70">
        <v>0.934</v>
      </c>
      <c r="M60" s="70">
        <v>0.0</v>
      </c>
      <c r="N60" s="70">
        <v>0.0</v>
      </c>
      <c r="O60" s="70">
        <v>30.934</v>
      </c>
      <c r="P60" s="71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</row>
    <row r="61">
      <c r="A61" s="36"/>
      <c r="B61" s="59">
        <v>46027.0</v>
      </c>
      <c r="C61" s="35"/>
      <c r="D61" s="35">
        <f t="shared" ref="D61:D82" si="3">O60</f>
        <v>30.934</v>
      </c>
      <c r="E61" s="35">
        <v>0.5</v>
      </c>
      <c r="F61" s="35">
        <v>31.434</v>
      </c>
      <c r="G61" s="35">
        <v>0.0</v>
      </c>
      <c r="H61" s="35">
        <v>1.0</v>
      </c>
      <c r="I61" s="35">
        <v>0.0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31.434</v>
      </c>
      <c r="P61" s="36"/>
    </row>
    <row r="62">
      <c r="A62" s="36"/>
      <c r="B62" s="59">
        <v>46117.0</v>
      </c>
      <c r="C62" s="35"/>
      <c r="D62" s="35">
        <f t="shared" si="3"/>
        <v>31.434</v>
      </c>
      <c r="E62" s="35">
        <v>1.0</v>
      </c>
      <c r="F62" s="35">
        <f t="shared" ref="F62:F100" si="4">D62+E62</f>
        <v>32.434</v>
      </c>
      <c r="G62" s="35">
        <v>0.0</v>
      </c>
      <c r="H62" s="35">
        <v>2.0</v>
      </c>
      <c r="I62" s="35">
        <v>0.0</v>
      </c>
      <c r="J62" s="35">
        <v>0.0</v>
      </c>
      <c r="K62" s="35">
        <v>1.0</v>
      </c>
      <c r="L62" s="35">
        <v>0.0</v>
      </c>
      <c r="M62" s="35">
        <v>0.0</v>
      </c>
      <c r="N62" s="35">
        <v>0.0</v>
      </c>
      <c r="O62" s="35">
        <v>32.434</v>
      </c>
      <c r="P62" s="36"/>
    </row>
    <row r="63">
      <c r="A63" s="61" t="s">
        <v>151</v>
      </c>
      <c r="B63" s="60">
        <v>46117.0</v>
      </c>
      <c r="C63" s="61"/>
      <c r="D63" s="61">
        <f t="shared" si="3"/>
        <v>32.434</v>
      </c>
      <c r="E63" s="61">
        <v>0.0</v>
      </c>
      <c r="F63" s="61">
        <f t="shared" si="4"/>
        <v>32.434</v>
      </c>
      <c r="G63" s="61">
        <v>0.0</v>
      </c>
      <c r="H63" s="61">
        <v>0.0</v>
      </c>
      <c r="I63" s="61">
        <v>0.0</v>
      </c>
      <c r="J63" s="61">
        <v>-1.0</v>
      </c>
      <c r="K63" s="61">
        <v>0.1</v>
      </c>
      <c r="L63" s="61">
        <v>0.0</v>
      </c>
      <c r="M63" s="61">
        <v>0.0</v>
      </c>
      <c r="N63" s="61">
        <v>0.0</v>
      </c>
      <c r="O63" s="61">
        <v>32.244</v>
      </c>
      <c r="P63" s="62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>
      <c r="A64" s="84" t="s">
        <v>152</v>
      </c>
      <c r="B64" s="85">
        <v>46117.0</v>
      </c>
      <c r="C64" s="86"/>
      <c r="D64" s="86">
        <f t="shared" si="3"/>
        <v>32.244</v>
      </c>
      <c r="E64" s="86">
        <v>0.0</v>
      </c>
      <c r="F64" s="86">
        <f t="shared" si="4"/>
        <v>32.244</v>
      </c>
      <c r="G64" s="86">
        <v>0.0</v>
      </c>
      <c r="H64" s="86">
        <v>2.0</v>
      </c>
      <c r="I64" s="86">
        <v>3.0</v>
      </c>
      <c r="J64" s="86">
        <v>3.0</v>
      </c>
      <c r="K64" s="86">
        <v>2.05</v>
      </c>
      <c r="L64" s="86">
        <v>0.0</v>
      </c>
      <c r="M64" s="86">
        <v>0.0</v>
      </c>
      <c r="N64" s="86">
        <v>0.0</v>
      </c>
      <c r="O64" s="86">
        <v>34.294</v>
      </c>
      <c r="P64" s="87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>
      <c r="A65" s="36"/>
      <c r="B65" s="59">
        <v>46208.0</v>
      </c>
      <c r="C65" s="35"/>
      <c r="D65" s="35">
        <f t="shared" si="3"/>
        <v>34.294</v>
      </c>
      <c r="E65" s="35">
        <v>0.5</v>
      </c>
      <c r="F65" s="35">
        <f t="shared" si="4"/>
        <v>34.794</v>
      </c>
      <c r="G65" s="35">
        <v>0.0</v>
      </c>
      <c r="H65" s="35">
        <v>1.0</v>
      </c>
      <c r="I65" s="35">
        <v>0.0</v>
      </c>
      <c r="J65" s="35">
        <v>0.0</v>
      </c>
      <c r="K65" s="35">
        <v>0.5</v>
      </c>
      <c r="L65" s="35">
        <v>0.0</v>
      </c>
      <c r="M65" s="35">
        <v>0.0</v>
      </c>
      <c r="N65" s="35">
        <v>0.0</v>
      </c>
      <c r="O65" s="35">
        <v>34.794</v>
      </c>
      <c r="P65" s="36"/>
    </row>
    <row r="66">
      <c r="A66" s="61" t="s">
        <v>153</v>
      </c>
      <c r="B66" s="60">
        <v>46270.0</v>
      </c>
      <c r="C66" s="61"/>
      <c r="D66" s="61">
        <f t="shared" si="3"/>
        <v>34.794</v>
      </c>
      <c r="E66" s="61">
        <v>0.0</v>
      </c>
      <c r="F66" s="61">
        <f t="shared" si="4"/>
        <v>34.794</v>
      </c>
      <c r="G66" s="61">
        <v>0.0</v>
      </c>
      <c r="H66" s="61">
        <v>1.0</v>
      </c>
      <c r="I66" s="61">
        <v>0.0</v>
      </c>
      <c r="J66" s="61">
        <v>0.0</v>
      </c>
      <c r="K66" s="61">
        <v>0.5</v>
      </c>
      <c r="L66" s="61">
        <v>0.0</v>
      </c>
      <c r="M66" s="61">
        <v>0.5</v>
      </c>
      <c r="N66" s="61">
        <v>0.0</v>
      </c>
      <c r="O66" s="61">
        <v>34.294</v>
      </c>
      <c r="P66" s="62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>
      <c r="A67" s="36"/>
      <c r="B67" s="59">
        <v>46331.0</v>
      </c>
      <c r="C67" s="35"/>
      <c r="D67" s="35">
        <f t="shared" si="3"/>
        <v>34.294</v>
      </c>
      <c r="E67" s="35">
        <v>0.75</v>
      </c>
      <c r="F67" s="35">
        <f t="shared" si="4"/>
        <v>35.044</v>
      </c>
      <c r="G67" s="35">
        <v>0.0</v>
      </c>
      <c r="H67" s="35">
        <v>1.0</v>
      </c>
      <c r="I67" s="35">
        <v>1.0</v>
      </c>
      <c r="J67" s="35">
        <v>0.0</v>
      </c>
      <c r="K67" s="35">
        <v>0.75</v>
      </c>
      <c r="L67" s="35">
        <v>0.0</v>
      </c>
      <c r="M67" s="35">
        <v>0.0</v>
      </c>
      <c r="N67" s="35">
        <v>0.0</v>
      </c>
      <c r="O67" s="35">
        <v>35.044</v>
      </c>
      <c r="P67" s="36"/>
    </row>
    <row r="68">
      <c r="A68" s="61" t="s">
        <v>154</v>
      </c>
      <c r="B68" s="63" t="s">
        <v>80</v>
      </c>
      <c r="C68" s="61"/>
      <c r="D68" s="61">
        <f t="shared" si="3"/>
        <v>35.044</v>
      </c>
      <c r="E68" s="61">
        <v>0.0</v>
      </c>
      <c r="F68" s="61">
        <f t="shared" si="4"/>
        <v>35.044</v>
      </c>
      <c r="G68" s="61">
        <v>0.0</v>
      </c>
      <c r="H68" s="61">
        <v>1.0</v>
      </c>
      <c r="I68" s="61">
        <v>0.0</v>
      </c>
      <c r="J68" s="61">
        <v>0.0</v>
      </c>
      <c r="K68" s="61">
        <v>0.5</v>
      </c>
      <c r="L68" s="61">
        <v>0.0</v>
      </c>
      <c r="M68" s="61">
        <v>0.5</v>
      </c>
      <c r="N68" s="61">
        <v>0.0</v>
      </c>
      <c r="O68" s="61">
        <v>34.544</v>
      </c>
      <c r="P68" s="62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>
      <c r="A69" s="61" t="s">
        <v>155</v>
      </c>
      <c r="B69" s="63" t="s">
        <v>80</v>
      </c>
      <c r="C69" s="61"/>
      <c r="D69" s="61">
        <f t="shared" si="3"/>
        <v>34.544</v>
      </c>
      <c r="E69" s="61">
        <v>0.0</v>
      </c>
      <c r="F69" s="61">
        <f t="shared" si="4"/>
        <v>34.544</v>
      </c>
      <c r="G69" s="61">
        <v>0.0</v>
      </c>
      <c r="H69" s="61">
        <v>1.0</v>
      </c>
      <c r="I69" s="61">
        <v>0.0</v>
      </c>
      <c r="J69" s="61">
        <v>0.0</v>
      </c>
      <c r="K69" s="61">
        <v>0.5</v>
      </c>
      <c r="L69" s="61">
        <v>0.0</v>
      </c>
      <c r="M69" s="61">
        <v>0.5</v>
      </c>
      <c r="N69" s="61">
        <v>0.0</v>
      </c>
      <c r="O69" s="61">
        <v>34.044</v>
      </c>
      <c r="P69" s="62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>
      <c r="A70" s="61" t="s">
        <v>156</v>
      </c>
      <c r="B70" s="60">
        <v>46086.0</v>
      </c>
      <c r="C70" s="61"/>
      <c r="D70" s="61">
        <f t="shared" si="3"/>
        <v>34.044</v>
      </c>
      <c r="E70" s="61">
        <v>0.0</v>
      </c>
      <c r="F70" s="61">
        <f t="shared" si="4"/>
        <v>34.044</v>
      </c>
      <c r="G70" s="61">
        <v>0.0</v>
      </c>
      <c r="H70" s="61">
        <v>1.0</v>
      </c>
      <c r="I70" s="61">
        <v>0.0</v>
      </c>
      <c r="J70" s="61">
        <v>0.0</v>
      </c>
      <c r="K70" s="61">
        <v>0.5</v>
      </c>
      <c r="L70" s="61">
        <v>0.0</v>
      </c>
      <c r="M70" s="61">
        <v>0.5</v>
      </c>
      <c r="N70" s="61">
        <v>0.0</v>
      </c>
      <c r="O70" s="61">
        <v>33.544</v>
      </c>
      <c r="P70" s="62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>
      <c r="A71" s="61" t="s">
        <v>157</v>
      </c>
      <c r="B71" s="63" t="s">
        <v>80</v>
      </c>
      <c r="C71" s="61"/>
      <c r="D71" s="61">
        <f t="shared" si="3"/>
        <v>33.544</v>
      </c>
      <c r="E71" s="61">
        <v>0.0</v>
      </c>
      <c r="F71" s="61">
        <f t="shared" si="4"/>
        <v>33.544</v>
      </c>
      <c r="G71" s="61">
        <v>0.0</v>
      </c>
      <c r="H71" s="61">
        <v>2.0</v>
      </c>
      <c r="I71" s="61">
        <v>0.0</v>
      </c>
      <c r="J71" s="61">
        <v>0.0</v>
      </c>
      <c r="K71" s="61">
        <v>1.0</v>
      </c>
      <c r="L71" s="61">
        <v>0.0</v>
      </c>
      <c r="M71" s="61">
        <v>1.0</v>
      </c>
      <c r="N71" s="61">
        <v>0.0</v>
      </c>
      <c r="O71" s="61">
        <v>32.544</v>
      </c>
      <c r="P71" s="62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>
      <c r="A72" s="36"/>
      <c r="B72" s="59">
        <v>46361.0</v>
      </c>
      <c r="C72" s="35"/>
      <c r="D72" s="35">
        <f t="shared" si="3"/>
        <v>32.544</v>
      </c>
      <c r="E72" s="35">
        <v>0.25</v>
      </c>
      <c r="F72" s="35">
        <f t="shared" si="4"/>
        <v>32.794</v>
      </c>
      <c r="G72" s="35">
        <v>0.0</v>
      </c>
      <c r="H72" s="35">
        <v>0.0</v>
      </c>
      <c r="I72" s="35">
        <v>1.0</v>
      </c>
      <c r="J72" s="35">
        <v>0.0</v>
      </c>
      <c r="K72" s="35">
        <v>0.25</v>
      </c>
      <c r="L72" s="35">
        <v>0.0</v>
      </c>
      <c r="M72" s="35">
        <v>0.0</v>
      </c>
      <c r="N72" s="35">
        <v>0.0</v>
      </c>
      <c r="O72" s="35">
        <v>32.794</v>
      </c>
      <c r="P72" s="36"/>
    </row>
    <row r="73">
      <c r="A73" s="36"/>
      <c r="B73" s="46" t="s">
        <v>80</v>
      </c>
      <c r="C73" s="35"/>
      <c r="D73" s="35">
        <f t="shared" si="3"/>
        <v>32.794</v>
      </c>
      <c r="E73" s="35">
        <v>0.25</v>
      </c>
      <c r="F73" s="35">
        <f t="shared" si="4"/>
        <v>33.044</v>
      </c>
      <c r="G73" s="35">
        <v>0.0</v>
      </c>
      <c r="H73" s="35">
        <v>0.0</v>
      </c>
      <c r="I73" s="35">
        <v>1.0</v>
      </c>
      <c r="J73" s="35">
        <v>0.0</v>
      </c>
      <c r="K73" s="35">
        <v>0.25</v>
      </c>
      <c r="L73" s="35">
        <v>0.0</v>
      </c>
      <c r="M73" s="35">
        <v>0.0</v>
      </c>
      <c r="N73" s="35">
        <v>0.0</v>
      </c>
      <c r="O73" s="35">
        <v>33.044</v>
      </c>
      <c r="P73" s="36"/>
    </row>
    <row r="74">
      <c r="A74" s="70" t="s">
        <v>158</v>
      </c>
      <c r="B74" s="69" t="s">
        <v>82</v>
      </c>
      <c r="C74" s="70"/>
      <c r="D74" s="70">
        <f t="shared" si="3"/>
        <v>33.044</v>
      </c>
      <c r="E74" s="70">
        <v>0.0</v>
      </c>
      <c r="F74" s="70">
        <f t="shared" si="4"/>
        <v>33.044</v>
      </c>
      <c r="G74" s="70">
        <v>4.0</v>
      </c>
      <c r="H74" s="70">
        <v>33.0</v>
      </c>
      <c r="I74" s="70">
        <v>28.0</v>
      </c>
      <c r="J74" s="70">
        <v>47.0</v>
      </c>
      <c r="K74" s="70">
        <v>32.2</v>
      </c>
      <c r="L74" s="70">
        <v>0.934</v>
      </c>
      <c r="M74" s="70">
        <v>0.0</v>
      </c>
      <c r="N74" s="70">
        <v>0.0</v>
      </c>
      <c r="O74" s="70">
        <v>33.044</v>
      </c>
      <c r="P74" s="71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</row>
    <row r="75">
      <c r="A75" s="89" t="s">
        <v>159</v>
      </c>
      <c r="B75" s="90" t="s">
        <v>82</v>
      </c>
      <c r="C75" s="91"/>
      <c r="D75" s="89">
        <f t="shared" si="3"/>
        <v>33.044</v>
      </c>
      <c r="E75" s="89">
        <v>1.25</v>
      </c>
      <c r="F75" s="89">
        <f t="shared" si="4"/>
        <v>34.294</v>
      </c>
      <c r="G75" s="89">
        <v>0.0</v>
      </c>
      <c r="H75" s="89">
        <v>0.0</v>
      </c>
      <c r="I75" s="89">
        <v>5.0</v>
      </c>
      <c r="J75" s="89">
        <v>0.0</v>
      </c>
      <c r="K75" s="89">
        <v>1.25</v>
      </c>
      <c r="L75" s="89">
        <v>0.0</v>
      </c>
      <c r="M75" s="91"/>
      <c r="N75" s="91"/>
      <c r="O75" s="89">
        <v>34.294</v>
      </c>
      <c r="P75" s="91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>
      <c r="A76" s="70" t="s">
        <v>158</v>
      </c>
      <c r="B76" s="69" t="s">
        <v>82</v>
      </c>
      <c r="C76" s="70"/>
      <c r="D76" s="70">
        <f t="shared" si="3"/>
        <v>34.294</v>
      </c>
      <c r="E76" s="70">
        <v>0.0</v>
      </c>
      <c r="F76" s="70">
        <f t="shared" si="4"/>
        <v>34.294</v>
      </c>
      <c r="G76" s="70">
        <v>4.0</v>
      </c>
      <c r="H76" s="70">
        <v>33.0</v>
      </c>
      <c r="I76" s="70">
        <v>33.0</v>
      </c>
      <c r="J76" s="70">
        <v>47.0</v>
      </c>
      <c r="K76" s="70">
        <v>33.45</v>
      </c>
      <c r="L76" s="70">
        <v>0.934</v>
      </c>
      <c r="M76" s="70">
        <v>0.0</v>
      </c>
      <c r="N76" s="70">
        <v>0.0</v>
      </c>
      <c r="O76" s="70">
        <v>34.294</v>
      </c>
      <c r="P76" s="71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</row>
    <row r="77">
      <c r="A77" s="61" t="s">
        <v>160</v>
      </c>
      <c r="B77" s="63" t="s">
        <v>82</v>
      </c>
      <c r="C77" s="62"/>
      <c r="D77" s="61">
        <f t="shared" si="3"/>
        <v>34.294</v>
      </c>
      <c r="E77" s="61">
        <v>0.0</v>
      </c>
      <c r="F77" s="61">
        <f t="shared" si="4"/>
        <v>34.294</v>
      </c>
      <c r="G77" s="61">
        <v>0.0</v>
      </c>
      <c r="H77" s="61">
        <v>-2.0</v>
      </c>
      <c r="I77" s="61">
        <v>-2.0</v>
      </c>
      <c r="J77" s="61">
        <v>0.0</v>
      </c>
      <c r="K77" s="61">
        <v>-1.5</v>
      </c>
      <c r="L77" s="61">
        <v>0.0</v>
      </c>
      <c r="M77" s="61">
        <v>-1.5</v>
      </c>
      <c r="N77" s="61">
        <v>0.0</v>
      </c>
      <c r="O77" s="61">
        <v>31.794</v>
      </c>
      <c r="P77" s="62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>
      <c r="A78" s="61" t="s">
        <v>161</v>
      </c>
      <c r="B78" s="63" t="s">
        <v>162</v>
      </c>
      <c r="C78" s="62"/>
      <c r="D78" s="61">
        <f t="shared" si="3"/>
        <v>31.794</v>
      </c>
      <c r="E78" s="61">
        <v>0.0</v>
      </c>
      <c r="F78" s="61">
        <f t="shared" si="4"/>
        <v>31.794</v>
      </c>
      <c r="G78" s="61">
        <v>0.0</v>
      </c>
      <c r="H78" s="61">
        <v>0.0</v>
      </c>
      <c r="I78" s="61">
        <v>-1.0</v>
      </c>
      <c r="J78" s="61">
        <v>0.0</v>
      </c>
      <c r="K78" s="61">
        <v>-0.25</v>
      </c>
      <c r="L78" s="61">
        <v>0.0</v>
      </c>
      <c r="M78" s="61">
        <v>-0.25</v>
      </c>
      <c r="N78" s="61">
        <v>0.0</v>
      </c>
      <c r="O78" s="61">
        <v>31.544</v>
      </c>
      <c r="P78" s="62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>
      <c r="A79" s="70" t="s">
        <v>158</v>
      </c>
      <c r="B79" s="69" t="s">
        <v>162</v>
      </c>
      <c r="C79" s="71"/>
      <c r="D79" s="93">
        <f t="shared" si="3"/>
        <v>31.544</v>
      </c>
      <c r="E79" s="70">
        <v>0.0</v>
      </c>
      <c r="F79" s="93">
        <f t="shared" si="4"/>
        <v>31.544</v>
      </c>
      <c r="G79" s="70">
        <v>4.0</v>
      </c>
      <c r="H79" s="70">
        <v>31.0</v>
      </c>
      <c r="I79" s="70">
        <v>30.0</v>
      </c>
      <c r="J79" s="70">
        <v>47.0</v>
      </c>
      <c r="K79" s="70">
        <v>31.7</v>
      </c>
      <c r="L79" s="70">
        <v>0.934</v>
      </c>
      <c r="M79" s="70">
        <v>0.0</v>
      </c>
      <c r="N79" s="70">
        <v>0.0</v>
      </c>
      <c r="O79" s="70">
        <v>32.634</v>
      </c>
      <c r="P79" s="71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</row>
    <row r="80">
      <c r="A80" s="36"/>
      <c r="B80" s="46" t="s">
        <v>162</v>
      </c>
      <c r="C80" s="36"/>
      <c r="D80" s="35">
        <f t="shared" si="3"/>
        <v>32.634</v>
      </c>
      <c r="E80" s="35">
        <v>0.5</v>
      </c>
      <c r="F80" s="94">
        <f t="shared" si="4"/>
        <v>33.134</v>
      </c>
      <c r="G80" s="35">
        <v>0.0</v>
      </c>
      <c r="H80" s="35">
        <v>0.0</v>
      </c>
      <c r="I80" s="35">
        <v>2.0</v>
      </c>
      <c r="J80" s="35">
        <v>0.0</v>
      </c>
      <c r="K80" s="35">
        <v>0.5</v>
      </c>
      <c r="L80" s="35">
        <v>0.0</v>
      </c>
      <c r="M80" s="35">
        <v>0.0</v>
      </c>
      <c r="N80" s="35">
        <v>0.0</v>
      </c>
      <c r="O80" s="35">
        <v>33.134</v>
      </c>
      <c r="P80" s="36"/>
    </row>
    <row r="81">
      <c r="A81" s="70" t="s">
        <v>126</v>
      </c>
      <c r="B81" s="69" t="s">
        <v>163</v>
      </c>
      <c r="C81" s="71"/>
      <c r="D81" s="70">
        <f t="shared" si="3"/>
        <v>33.134</v>
      </c>
      <c r="E81" s="70">
        <v>0.0</v>
      </c>
      <c r="F81" s="70">
        <f t="shared" si="4"/>
        <v>33.134</v>
      </c>
      <c r="G81" s="70">
        <v>4.0</v>
      </c>
      <c r="H81" s="70">
        <v>31.0</v>
      </c>
      <c r="I81" s="70">
        <v>32.0</v>
      </c>
      <c r="J81" s="70">
        <v>47.0</v>
      </c>
      <c r="K81" s="70">
        <v>32.2</v>
      </c>
      <c r="L81" s="70">
        <v>0.934</v>
      </c>
      <c r="M81" s="70">
        <v>0.0</v>
      </c>
      <c r="N81" s="70">
        <v>0.0</v>
      </c>
      <c r="O81" s="70">
        <v>33.134</v>
      </c>
      <c r="P81" s="71"/>
      <c r="Q81" s="95"/>
      <c r="R81" s="95"/>
      <c r="S81" s="95"/>
      <c r="T81" s="95"/>
      <c r="U81" s="95"/>
      <c r="V81" s="95"/>
      <c r="W81" s="95"/>
      <c r="X81" s="95"/>
      <c r="Y81" s="73"/>
      <c r="Z81" s="73"/>
      <c r="AA81" s="73"/>
      <c r="AB81" s="73"/>
      <c r="AC81" s="73"/>
      <c r="AD81" s="73"/>
    </row>
    <row r="82">
      <c r="A82" s="36"/>
      <c r="B82" s="46" t="s">
        <v>163</v>
      </c>
      <c r="C82" s="36"/>
      <c r="D82" s="35">
        <f t="shared" si="3"/>
        <v>33.134</v>
      </c>
      <c r="E82" s="35">
        <v>0.5</v>
      </c>
      <c r="F82" s="94">
        <f t="shared" si="4"/>
        <v>33.634</v>
      </c>
      <c r="G82" s="35">
        <v>0.0</v>
      </c>
      <c r="H82" s="35">
        <v>1.0</v>
      </c>
      <c r="I82" s="35">
        <v>0.0</v>
      </c>
      <c r="J82" s="35">
        <v>0.0</v>
      </c>
      <c r="K82" s="35">
        <v>0.5</v>
      </c>
      <c r="L82" s="35">
        <v>0.0</v>
      </c>
      <c r="M82" s="35">
        <v>0.0</v>
      </c>
      <c r="N82" s="35">
        <v>0.0</v>
      </c>
      <c r="O82" s="35">
        <v>32.634</v>
      </c>
      <c r="P82" s="36"/>
      <c r="Q82" s="96"/>
      <c r="R82" s="96"/>
      <c r="S82" s="96"/>
      <c r="T82" s="96"/>
      <c r="U82" s="96"/>
      <c r="V82" s="96"/>
      <c r="W82" s="96"/>
      <c r="X82" s="96"/>
    </row>
    <row r="83">
      <c r="A83" s="70" t="s">
        <v>158</v>
      </c>
      <c r="B83" s="69" t="s">
        <v>164</v>
      </c>
      <c r="C83" s="71"/>
      <c r="D83" s="70">
        <v>33.634</v>
      </c>
      <c r="E83" s="70">
        <v>0.0</v>
      </c>
      <c r="F83" s="70">
        <f t="shared" si="4"/>
        <v>33.634</v>
      </c>
      <c r="G83" s="70">
        <v>4.0</v>
      </c>
      <c r="H83" s="70">
        <v>32.0</v>
      </c>
      <c r="I83" s="70">
        <v>32.0</v>
      </c>
      <c r="J83" s="70">
        <v>47.0</v>
      </c>
      <c r="K83" s="70">
        <v>32.7</v>
      </c>
      <c r="L83" s="70">
        <v>0.934</v>
      </c>
      <c r="M83" s="70">
        <v>0.0</v>
      </c>
      <c r="N83" s="70">
        <v>0.0</v>
      </c>
      <c r="O83" s="70">
        <v>33.634</v>
      </c>
      <c r="P83" s="71"/>
      <c r="Q83" s="95"/>
      <c r="R83" s="95"/>
      <c r="S83" s="95"/>
      <c r="T83" s="95"/>
      <c r="U83" s="95"/>
      <c r="V83" s="95"/>
      <c r="W83" s="95"/>
      <c r="X83" s="95"/>
      <c r="Y83" s="73"/>
      <c r="Z83" s="73"/>
      <c r="AA83" s="73"/>
      <c r="AB83" s="73"/>
      <c r="AC83" s="73"/>
      <c r="AD83" s="73"/>
    </row>
    <row r="84">
      <c r="A84" s="36"/>
      <c r="B84" s="46" t="s">
        <v>164</v>
      </c>
      <c r="C84" s="36"/>
      <c r="D84" s="35">
        <f t="shared" ref="D84:D113" si="5">O83</f>
        <v>33.634</v>
      </c>
      <c r="E84" s="35">
        <v>0.5</v>
      </c>
      <c r="F84" s="94">
        <f t="shared" si="4"/>
        <v>34.134</v>
      </c>
      <c r="G84" s="35">
        <v>0.0</v>
      </c>
      <c r="H84" s="35">
        <v>0.0</v>
      </c>
      <c r="I84" s="35">
        <v>2.0</v>
      </c>
      <c r="J84" s="35">
        <v>0.0</v>
      </c>
      <c r="K84" s="35">
        <v>0.5</v>
      </c>
      <c r="L84" s="35">
        <v>0.0</v>
      </c>
      <c r="M84" s="35">
        <v>0.0</v>
      </c>
      <c r="N84" s="35">
        <v>0.0</v>
      </c>
      <c r="O84" s="35">
        <v>34.134</v>
      </c>
      <c r="P84" s="36"/>
      <c r="Q84" s="96"/>
      <c r="R84" s="96"/>
      <c r="S84" s="96"/>
      <c r="T84" s="96"/>
      <c r="U84" s="96"/>
      <c r="V84" s="96"/>
      <c r="W84" s="96"/>
      <c r="X84" s="96"/>
    </row>
    <row r="85">
      <c r="A85" s="70"/>
      <c r="B85" s="69" t="s">
        <v>164</v>
      </c>
      <c r="C85" s="71"/>
      <c r="D85" s="70">
        <f t="shared" si="5"/>
        <v>34.134</v>
      </c>
      <c r="E85" s="70">
        <v>0.0</v>
      </c>
      <c r="F85" s="70">
        <f t="shared" si="4"/>
        <v>34.134</v>
      </c>
      <c r="G85" s="70">
        <v>4.0</v>
      </c>
      <c r="H85" s="70">
        <v>32.0</v>
      </c>
      <c r="I85" s="70">
        <v>34.0</v>
      </c>
      <c r="J85" s="70">
        <v>47.0</v>
      </c>
      <c r="K85" s="70">
        <v>33.2</v>
      </c>
      <c r="L85" s="70">
        <v>0.934</v>
      </c>
      <c r="M85" s="70">
        <v>0.0</v>
      </c>
      <c r="N85" s="70">
        <v>0.0</v>
      </c>
      <c r="O85" s="70">
        <v>34.134</v>
      </c>
      <c r="P85" s="71"/>
      <c r="Q85" s="95"/>
      <c r="R85" s="95"/>
      <c r="S85" s="95"/>
      <c r="T85" s="95"/>
      <c r="U85" s="95"/>
      <c r="V85" s="95"/>
      <c r="W85" s="95"/>
      <c r="X85" s="95"/>
      <c r="Y85" s="73"/>
      <c r="Z85" s="73"/>
      <c r="AA85" s="73"/>
      <c r="AB85" s="73"/>
      <c r="AC85" s="73"/>
      <c r="AD85" s="73"/>
    </row>
    <row r="86">
      <c r="A86" s="61" t="s">
        <v>165</v>
      </c>
      <c r="B86" s="63" t="s">
        <v>164</v>
      </c>
      <c r="C86" s="62"/>
      <c r="D86" s="61">
        <f t="shared" si="5"/>
        <v>34.134</v>
      </c>
      <c r="E86" s="61">
        <v>0.0</v>
      </c>
      <c r="F86" s="61">
        <f t="shared" si="4"/>
        <v>34.134</v>
      </c>
      <c r="G86" s="61">
        <v>0.0</v>
      </c>
      <c r="H86" s="61">
        <v>0.0</v>
      </c>
      <c r="I86" s="61">
        <v>-1.0</v>
      </c>
      <c r="J86" s="61">
        <v>0.0</v>
      </c>
      <c r="K86" s="61">
        <v>0.25</v>
      </c>
      <c r="L86" s="61">
        <v>0.0</v>
      </c>
      <c r="M86" s="61">
        <v>0.25</v>
      </c>
      <c r="N86" s="61">
        <v>0.0</v>
      </c>
      <c r="O86" s="61">
        <v>33.884</v>
      </c>
      <c r="P86" s="62"/>
      <c r="Q86" s="96"/>
      <c r="R86" s="96"/>
      <c r="S86" s="96"/>
      <c r="T86" s="96"/>
      <c r="U86" s="96"/>
      <c r="V86" s="96"/>
      <c r="W86" s="96"/>
      <c r="X86" s="96"/>
      <c r="Y86" s="26"/>
      <c r="Z86" s="26"/>
      <c r="AA86" s="26"/>
      <c r="AB86" s="26"/>
      <c r="AC86" s="26"/>
      <c r="AD86" s="26"/>
    </row>
    <row r="87">
      <c r="A87" s="61" t="s">
        <v>166</v>
      </c>
      <c r="B87" s="60">
        <v>46058.0</v>
      </c>
      <c r="C87" s="62"/>
      <c r="D87" s="61">
        <f t="shared" si="5"/>
        <v>33.884</v>
      </c>
      <c r="E87" s="61">
        <v>0.0</v>
      </c>
      <c r="F87" s="61">
        <f t="shared" si="4"/>
        <v>33.884</v>
      </c>
      <c r="G87" s="61">
        <v>0.0</v>
      </c>
      <c r="H87" s="61">
        <v>0.0</v>
      </c>
      <c r="I87" s="61">
        <v>0.0</v>
      </c>
      <c r="J87" s="61">
        <v>-2.0</v>
      </c>
      <c r="K87" s="61">
        <v>0.2</v>
      </c>
      <c r="L87" s="61">
        <v>0.0</v>
      </c>
      <c r="M87" s="61">
        <v>0.2</v>
      </c>
      <c r="N87" s="61">
        <v>0.0</v>
      </c>
      <c r="O87" s="61">
        <v>33.684</v>
      </c>
      <c r="P87" s="62"/>
      <c r="Q87" s="96"/>
      <c r="R87" s="96"/>
      <c r="S87" s="96"/>
      <c r="T87" s="96"/>
      <c r="U87" s="96"/>
      <c r="V87" s="96"/>
      <c r="W87" s="96"/>
      <c r="X87" s="96"/>
      <c r="Y87" s="26"/>
      <c r="Z87" s="26"/>
      <c r="AA87" s="26"/>
      <c r="AB87" s="26"/>
      <c r="AC87" s="26"/>
      <c r="AD87" s="26"/>
    </row>
    <row r="88">
      <c r="A88" s="61" t="s">
        <v>167</v>
      </c>
      <c r="B88" s="63" t="s">
        <v>168</v>
      </c>
      <c r="C88" s="62"/>
      <c r="D88" s="61">
        <f t="shared" si="5"/>
        <v>33.684</v>
      </c>
      <c r="E88" s="61">
        <v>0.0</v>
      </c>
      <c r="F88" s="61">
        <f t="shared" si="4"/>
        <v>33.684</v>
      </c>
      <c r="G88" s="61">
        <v>0.0</v>
      </c>
      <c r="H88" s="61">
        <v>-1.0</v>
      </c>
      <c r="I88" s="61">
        <v>0.0</v>
      </c>
      <c r="J88" s="61">
        <v>0.0</v>
      </c>
      <c r="K88" s="61">
        <v>0.5</v>
      </c>
      <c r="L88" s="61">
        <v>0.0</v>
      </c>
      <c r="M88" s="61">
        <v>0.5</v>
      </c>
      <c r="N88" s="61">
        <v>0.0</v>
      </c>
      <c r="O88" s="61">
        <v>33.184</v>
      </c>
      <c r="P88" s="62"/>
      <c r="Q88" s="96"/>
      <c r="R88" s="96"/>
      <c r="S88" s="96"/>
      <c r="T88" s="96"/>
      <c r="U88" s="96"/>
      <c r="V88" s="96"/>
      <c r="W88" s="96"/>
      <c r="X88" s="96"/>
      <c r="Y88" s="26"/>
      <c r="Z88" s="26"/>
      <c r="AA88" s="26"/>
      <c r="AB88" s="26"/>
      <c r="AC88" s="26"/>
      <c r="AD88" s="26"/>
    </row>
    <row r="89">
      <c r="A89" s="68" t="s">
        <v>126</v>
      </c>
      <c r="B89" s="70" t="s">
        <v>169</v>
      </c>
      <c r="C89" s="71"/>
      <c r="D89" s="70">
        <f t="shared" si="5"/>
        <v>33.184</v>
      </c>
      <c r="E89" s="70">
        <v>0.0</v>
      </c>
      <c r="F89" s="70">
        <f t="shared" si="4"/>
        <v>33.184</v>
      </c>
      <c r="G89" s="70">
        <v>4.0</v>
      </c>
      <c r="H89" s="70">
        <v>31.0</v>
      </c>
      <c r="I89" s="70">
        <v>33.0</v>
      </c>
      <c r="J89" s="70">
        <v>45.0</v>
      </c>
      <c r="K89" s="70">
        <v>32.25</v>
      </c>
      <c r="L89" s="70">
        <v>0.934</v>
      </c>
      <c r="M89" s="70">
        <v>0.0</v>
      </c>
      <c r="N89" s="70">
        <v>0.0</v>
      </c>
      <c r="O89" s="70">
        <v>33.184</v>
      </c>
      <c r="P89" s="71"/>
      <c r="Q89" s="95"/>
      <c r="R89" s="95"/>
      <c r="S89" s="95"/>
      <c r="T89" s="95"/>
      <c r="U89" s="95"/>
      <c r="V89" s="95"/>
      <c r="W89" s="95"/>
      <c r="X89" s="95"/>
      <c r="Y89" s="73"/>
      <c r="Z89" s="73"/>
      <c r="AA89" s="73"/>
      <c r="AB89" s="73"/>
      <c r="AC89" s="73"/>
      <c r="AD89" s="73"/>
    </row>
    <row r="90">
      <c r="A90" s="61" t="s">
        <v>170</v>
      </c>
      <c r="B90" s="63" t="s">
        <v>169</v>
      </c>
      <c r="C90" s="62"/>
      <c r="D90" s="61">
        <f t="shared" si="5"/>
        <v>33.184</v>
      </c>
      <c r="E90" s="61">
        <v>0.0</v>
      </c>
      <c r="F90" s="61">
        <f t="shared" si="4"/>
        <v>33.184</v>
      </c>
      <c r="G90" s="61">
        <v>0.0</v>
      </c>
      <c r="H90" s="61">
        <v>-1.0</v>
      </c>
      <c r="I90" s="61">
        <v>-1.0</v>
      </c>
      <c r="J90" s="61">
        <v>0.0</v>
      </c>
      <c r="K90" s="61">
        <v>0.75</v>
      </c>
      <c r="L90" s="61">
        <v>0.0</v>
      </c>
      <c r="M90" s="61">
        <v>0.75</v>
      </c>
      <c r="N90" s="61">
        <v>0.0</v>
      </c>
      <c r="O90" s="61">
        <v>32.434</v>
      </c>
      <c r="P90" s="62"/>
      <c r="Q90" s="96"/>
      <c r="R90" s="96"/>
      <c r="S90" s="96"/>
      <c r="T90" s="96"/>
      <c r="U90" s="96"/>
      <c r="V90" s="96"/>
      <c r="W90" s="96"/>
      <c r="X90" s="96"/>
      <c r="Y90" s="26"/>
      <c r="Z90" s="26"/>
      <c r="AA90" s="26"/>
      <c r="AB90" s="26"/>
      <c r="AC90" s="26"/>
      <c r="AD90" s="26"/>
    </row>
    <row r="91">
      <c r="A91" s="97" t="s">
        <v>171</v>
      </c>
      <c r="B91" s="98" t="s">
        <v>172</v>
      </c>
      <c r="C91" s="99"/>
      <c r="D91" s="97">
        <f t="shared" si="5"/>
        <v>32.434</v>
      </c>
      <c r="E91" s="97">
        <v>0.3</v>
      </c>
      <c r="F91" s="97">
        <f t="shared" si="4"/>
        <v>32.734</v>
      </c>
      <c r="G91" s="97">
        <v>0.0</v>
      </c>
      <c r="H91" s="97">
        <v>0.0</v>
      </c>
      <c r="I91" s="97">
        <v>0.0</v>
      </c>
      <c r="J91" s="97">
        <v>0.0</v>
      </c>
      <c r="K91" s="97">
        <v>0.0</v>
      </c>
      <c r="L91" s="97">
        <v>0.3</v>
      </c>
      <c r="M91" s="99"/>
      <c r="N91" s="99"/>
      <c r="O91" s="97">
        <v>32.434</v>
      </c>
      <c r="P91" s="99"/>
      <c r="Q91" s="96"/>
      <c r="R91" s="96"/>
      <c r="S91" s="96"/>
      <c r="T91" s="96"/>
      <c r="U91" s="96"/>
      <c r="V91" s="96"/>
      <c r="W91" s="96"/>
      <c r="X91" s="96"/>
      <c r="Y91" s="100"/>
      <c r="Z91" s="100"/>
      <c r="AA91" s="100"/>
      <c r="AB91" s="100"/>
      <c r="AC91" s="100"/>
      <c r="AD91" s="100"/>
    </row>
    <row r="92">
      <c r="A92" s="35" t="s">
        <v>173</v>
      </c>
      <c r="B92" s="46" t="s">
        <v>172</v>
      </c>
      <c r="C92" s="36"/>
      <c r="D92" s="35">
        <f t="shared" si="5"/>
        <v>32.434</v>
      </c>
      <c r="E92" s="35">
        <v>0.5</v>
      </c>
      <c r="F92" s="94">
        <f t="shared" si="4"/>
        <v>32.934</v>
      </c>
      <c r="G92" s="35">
        <v>0.0</v>
      </c>
      <c r="H92" s="35">
        <v>0.0</v>
      </c>
      <c r="I92" s="35">
        <v>2.0</v>
      </c>
      <c r="J92" s="35">
        <v>0.0</v>
      </c>
      <c r="K92" s="35">
        <v>0.5</v>
      </c>
      <c r="L92" s="35">
        <v>0.0</v>
      </c>
      <c r="M92" s="35">
        <v>0.0</v>
      </c>
      <c r="N92" s="35">
        <v>0.0</v>
      </c>
      <c r="O92" s="35">
        <v>32.934</v>
      </c>
      <c r="P92" s="36"/>
      <c r="Q92" s="96"/>
      <c r="R92" s="96"/>
      <c r="S92" s="96"/>
      <c r="T92" s="96"/>
      <c r="U92" s="96"/>
      <c r="V92" s="96"/>
      <c r="W92" s="96"/>
      <c r="X92" s="96"/>
    </row>
    <row r="93">
      <c r="A93" s="70" t="s">
        <v>126</v>
      </c>
      <c r="B93" s="69" t="s">
        <v>172</v>
      </c>
      <c r="C93" s="71"/>
      <c r="D93" s="70">
        <f t="shared" si="5"/>
        <v>32.934</v>
      </c>
      <c r="E93" s="70">
        <v>0.0</v>
      </c>
      <c r="F93" s="70">
        <f t="shared" si="4"/>
        <v>32.934</v>
      </c>
      <c r="G93" s="70">
        <v>4.0</v>
      </c>
      <c r="H93" s="70">
        <v>30.0</v>
      </c>
      <c r="I93" s="70">
        <v>34.0</v>
      </c>
      <c r="J93" s="70">
        <v>45.0</v>
      </c>
      <c r="K93" s="70">
        <v>32.0</v>
      </c>
      <c r="L93" s="70">
        <v>0.934</v>
      </c>
      <c r="M93" s="70">
        <v>0.0</v>
      </c>
      <c r="N93" s="70">
        <v>0.0</v>
      </c>
      <c r="O93" s="70">
        <v>32.934</v>
      </c>
      <c r="P93" s="71"/>
      <c r="Q93" s="95"/>
      <c r="R93" s="95"/>
      <c r="S93" s="95"/>
      <c r="T93" s="95"/>
      <c r="U93" s="95"/>
      <c r="V93" s="95"/>
      <c r="W93" s="95"/>
      <c r="X93" s="95"/>
      <c r="Y93" s="73"/>
      <c r="Z93" s="73"/>
      <c r="AA93" s="73"/>
      <c r="AB93" s="73"/>
      <c r="AC93" s="73"/>
      <c r="AD93" s="73"/>
    </row>
    <row r="94">
      <c r="A94" s="61" t="s">
        <v>174</v>
      </c>
      <c r="B94" s="63" t="s">
        <v>175</v>
      </c>
      <c r="C94" s="62"/>
      <c r="D94" s="61">
        <f t="shared" si="5"/>
        <v>32.934</v>
      </c>
      <c r="E94" s="61">
        <v>0.0</v>
      </c>
      <c r="F94" s="61">
        <f t="shared" si="4"/>
        <v>32.934</v>
      </c>
      <c r="G94" s="61">
        <v>0.0</v>
      </c>
      <c r="H94" s="61">
        <v>0.0</v>
      </c>
      <c r="I94" s="61">
        <v>-2.0</v>
      </c>
      <c r="J94" s="61">
        <v>0.0</v>
      </c>
      <c r="K94" s="61">
        <v>0.5</v>
      </c>
      <c r="L94" s="61">
        <v>0.0</v>
      </c>
      <c r="M94" s="61">
        <v>0.5</v>
      </c>
      <c r="N94" s="61">
        <v>0.0</v>
      </c>
      <c r="O94" s="61">
        <v>32.434</v>
      </c>
      <c r="P94" s="62"/>
      <c r="Q94" s="96"/>
      <c r="R94" s="96"/>
      <c r="S94" s="96"/>
      <c r="T94" s="96"/>
      <c r="U94" s="96"/>
      <c r="V94" s="96"/>
      <c r="W94" s="96"/>
      <c r="X94" s="96"/>
      <c r="Y94" s="26"/>
      <c r="Z94" s="26"/>
      <c r="AA94" s="26"/>
      <c r="AB94" s="26"/>
      <c r="AC94" s="26"/>
      <c r="AD94" s="26"/>
    </row>
    <row r="95">
      <c r="A95" s="61" t="s">
        <v>176</v>
      </c>
      <c r="B95" s="63" t="s">
        <v>177</v>
      </c>
      <c r="C95" s="62"/>
      <c r="D95" s="61">
        <f t="shared" si="5"/>
        <v>32.434</v>
      </c>
      <c r="E95" s="61">
        <v>0.0</v>
      </c>
      <c r="F95" s="61">
        <f t="shared" si="4"/>
        <v>32.434</v>
      </c>
      <c r="G95" s="61">
        <v>0.0</v>
      </c>
      <c r="H95" s="61">
        <v>0.0</v>
      </c>
      <c r="I95" s="61">
        <v>-2.0</v>
      </c>
      <c r="J95" s="61">
        <v>0.0</v>
      </c>
      <c r="K95" s="61">
        <v>0.5</v>
      </c>
      <c r="L95" s="61">
        <v>0.0</v>
      </c>
      <c r="M95" s="61">
        <v>0.5</v>
      </c>
      <c r="N95" s="61">
        <v>0.0</v>
      </c>
      <c r="O95" s="61">
        <v>31.934</v>
      </c>
      <c r="P95" s="62"/>
      <c r="Q95" s="96"/>
      <c r="R95" s="96"/>
      <c r="S95" s="96"/>
      <c r="T95" s="96"/>
      <c r="U95" s="96"/>
      <c r="V95" s="96"/>
      <c r="W95" s="96"/>
      <c r="X95" s="96"/>
      <c r="Y95" s="26"/>
      <c r="Z95" s="26"/>
      <c r="AA95" s="26"/>
      <c r="AB95" s="26"/>
      <c r="AC95" s="26"/>
      <c r="AD95" s="26"/>
    </row>
    <row r="96">
      <c r="A96" s="61" t="s">
        <v>178</v>
      </c>
      <c r="B96" s="63" t="s">
        <v>179</v>
      </c>
      <c r="C96" s="62"/>
      <c r="D96" s="61">
        <f t="shared" si="5"/>
        <v>31.934</v>
      </c>
      <c r="E96" s="61">
        <v>0.0</v>
      </c>
      <c r="F96" s="61">
        <f t="shared" si="4"/>
        <v>31.934</v>
      </c>
      <c r="G96" s="61">
        <v>0.0</v>
      </c>
      <c r="H96" s="61">
        <v>-1.0</v>
      </c>
      <c r="I96" s="61">
        <v>0.0</v>
      </c>
      <c r="J96" s="61">
        <v>0.0</v>
      </c>
      <c r="K96" s="61">
        <v>0.5</v>
      </c>
      <c r="L96" s="61">
        <v>0.0</v>
      </c>
      <c r="M96" s="61">
        <v>0.5</v>
      </c>
      <c r="N96" s="61">
        <v>0.0</v>
      </c>
      <c r="O96" s="61">
        <v>31.434</v>
      </c>
      <c r="P96" s="62"/>
      <c r="Q96" s="96"/>
      <c r="R96" s="96"/>
      <c r="S96" s="96"/>
      <c r="T96" s="96"/>
      <c r="U96" s="96"/>
      <c r="V96" s="96"/>
      <c r="W96" s="96"/>
      <c r="X96" s="96"/>
      <c r="Y96" s="26"/>
      <c r="Z96" s="26"/>
      <c r="AA96" s="26"/>
      <c r="AB96" s="26"/>
      <c r="AC96" s="26"/>
      <c r="AD96" s="26"/>
    </row>
    <row r="97">
      <c r="A97" s="61" t="s">
        <v>180</v>
      </c>
      <c r="B97" s="63" t="s">
        <v>179</v>
      </c>
      <c r="C97" s="62"/>
      <c r="D97" s="61">
        <f t="shared" si="5"/>
        <v>31.434</v>
      </c>
      <c r="E97" s="61">
        <v>0.0</v>
      </c>
      <c r="F97" s="61">
        <f t="shared" si="4"/>
        <v>31.434</v>
      </c>
      <c r="G97" s="61">
        <v>0.0</v>
      </c>
      <c r="H97" s="61">
        <v>0.0</v>
      </c>
      <c r="I97" s="61">
        <v>0.0</v>
      </c>
      <c r="J97" s="61">
        <v>-1.0</v>
      </c>
      <c r="K97" s="61">
        <v>0.1</v>
      </c>
      <c r="L97" s="61">
        <v>0.0</v>
      </c>
      <c r="M97" s="61">
        <v>0.1</v>
      </c>
      <c r="N97" s="61">
        <v>0.0</v>
      </c>
      <c r="O97" s="61">
        <v>31.334</v>
      </c>
      <c r="P97" s="62"/>
      <c r="Q97" s="96"/>
      <c r="R97" s="96"/>
      <c r="S97" s="96"/>
      <c r="T97" s="96"/>
      <c r="U97" s="96"/>
      <c r="V97" s="96"/>
      <c r="W97" s="96"/>
      <c r="X97" s="96"/>
      <c r="Y97" s="26"/>
      <c r="Z97" s="26"/>
      <c r="AA97" s="26"/>
      <c r="AB97" s="26"/>
      <c r="AC97" s="26"/>
      <c r="AD97" s="26"/>
    </row>
    <row r="98">
      <c r="A98" s="70" t="s">
        <v>126</v>
      </c>
      <c r="B98" s="69" t="s">
        <v>179</v>
      </c>
      <c r="C98" s="71"/>
      <c r="D98" s="70">
        <f t="shared" si="5"/>
        <v>31.334</v>
      </c>
      <c r="E98" s="70">
        <v>0.0</v>
      </c>
      <c r="F98" s="70">
        <f t="shared" si="4"/>
        <v>31.334</v>
      </c>
      <c r="G98" s="70">
        <v>4.0</v>
      </c>
      <c r="H98" s="70">
        <v>29.0</v>
      </c>
      <c r="I98" s="70">
        <v>30.0</v>
      </c>
      <c r="J98" s="70">
        <v>44.0</v>
      </c>
      <c r="K98" s="70">
        <v>30.4</v>
      </c>
      <c r="L98" s="70">
        <v>0.934</v>
      </c>
      <c r="M98" s="70">
        <v>0.0</v>
      </c>
      <c r="N98" s="70">
        <v>0.0</v>
      </c>
      <c r="O98" s="70">
        <v>31.334</v>
      </c>
      <c r="P98" s="71"/>
      <c r="Q98" s="95"/>
      <c r="R98" s="95"/>
      <c r="S98" s="95"/>
      <c r="T98" s="95"/>
      <c r="U98" s="95"/>
      <c r="V98" s="95"/>
      <c r="W98" s="95"/>
      <c r="X98" s="95"/>
      <c r="Y98" s="73"/>
      <c r="Z98" s="73"/>
      <c r="AA98" s="73"/>
      <c r="AB98" s="73"/>
      <c r="AC98" s="73"/>
      <c r="AD98" s="73"/>
    </row>
    <row r="99">
      <c r="A99" s="33" t="s">
        <v>173</v>
      </c>
      <c r="B99" s="46" t="s">
        <v>179</v>
      </c>
      <c r="C99" s="36"/>
      <c r="D99" s="35">
        <f t="shared" si="5"/>
        <v>31.334</v>
      </c>
      <c r="E99" s="35">
        <v>0.25</v>
      </c>
      <c r="F99" s="94">
        <f t="shared" si="4"/>
        <v>31.584</v>
      </c>
      <c r="G99" s="35">
        <v>0.0</v>
      </c>
      <c r="H99" s="35">
        <v>0.0</v>
      </c>
      <c r="I99" s="35">
        <v>1.0</v>
      </c>
      <c r="J99" s="35">
        <v>0.0</v>
      </c>
      <c r="K99" s="35">
        <v>0.25</v>
      </c>
      <c r="L99" s="35">
        <v>0.0</v>
      </c>
      <c r="M99" s="35">
        <v>0.0</v>
      </c>
      <c r="N99" s="35">
        <v>0.0</v>
      </c>
      <c r="O99" s="35">
        <v>31.584</v>
      </c>
      <c r="P99" s="36"/>
    </row>
    <row r="100">
      <c r="A100" s="101"/>
      <c r="B100" s="46" t="s">
        <v>179</v>
      </c>
      <c r="C100" s="36"/>
      <c r="D100" s="35">
        <f t="shared" si="5"/>
        <v>31.584</v>
      </c>
      <c r="E100" s="35">
        <v>0.5</v>
      </c>
      <c r="F100" s="94">
        <f t="shared" si="4"/>
        <v>32.084</v>
      </c>
      <c r="G100" s="33">
        <v>0.0</v>
      </c>
      <c r="H100" s="35">
        <v>1.0</v>
      </c>
      <c r="I100" s="35">
        <v>0.0</v>
      </c>
      <c r="J100" s="35">
        <v>0.0</v>
      </c>
      <c r="K100" s="35">
        <v>0.5</v>
      </c>
      <c r="L100" s="35">
        <v>0.0</v>
      </c>
      <c r="M100" s="35">
        <v>0.0</v>
      </c>
      <c r="N100" s="35">
        <v>0.0</v>
      </c>
      <c r="O100" s="35">
        <v>32.084</v>
      </c>
      <c r="P100" s="36"/>
    </row>
    <row r="101">
      <c r="A101" s="102" t="s">
        <v>181</v>
      </c>
      <c r="B101" s="60">
        <v>46028.0</v>
      </c>
      <c r="C101" s="62"/>
      <c r="D101" s="61">
        <f t="shared" si="5"/>
        <v>32.084</v>
      </c>
      <c r="E101" s="61">
        <v>0.0</v>
      </c>
      <c r="F101" s="61">
        <v>32.084</v>
      </c>
      <c r="G101" s="61">
        <v>0.0</v>
      </c>
      <c r="H101" s="61">
        <v>0.0</v>
      </c>
      <c r="I101" s="61">
        <v>-1.0</v>
      </c>
      <c r="J101" s="61">
        <v>0.0</v>
      </c>
      <c r="K101" s="61">
        <v>0.25</v>
      </c>
      <c r="L101" s="61">
        <v>0.0</v>
      </c>
      <c r="M101" s="61">
        <v>0.25</v>
      </c>
      <c r="N101" s="61">
        <v>0.0</v>
      </c>
      <c r="O101" s="61">
        <v>31.834</v>
      </c>
      <c r="P101" s="62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>
      <c r="A102" s="61" t="s">
        <v>182</v>
      </c>
      <c r="B102" s="60">
        <v>46028.0</v>
      </c>
      <c r="C102" s="62"/>
      <c r="D102" s="61">
        <f t="shared" si="5"/>
        <v>31.834</v>
      </c>
      <c r="E102" s="61">
        <v>0.0</v>
      </c>
      <c r="F102" s="61">
        <f t="shared" ref="F102:F103" si="6">D102+E102</f>
        <v>31.834</v>
      </c>
      <c r="G102" s="61">
        <v>0.0</v>
      </c>
      <c r="H102" s="61">
        <v>0.0</v>
      </c>
      <c r="I102" s="61">
        <v>-1.0</v>
      </c>
      <c r="J102" s="61">
        <v>0.0</v>
      </c>
      <c r="K102" s="61">
        <v>0.25</v>
      </c>
      <c r="L102" s="61">
        <v>0.0</v>
      </c>
      <c r="M102" s="61">
        <v>0.25</v>
      </c>
      <c r="N102" s="61">
        <v>0.0</v>
      </c>
      <c r="O102" s="61">
        <v>31.584</v>
      </c>
      <c r="P102" s="62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>
      <c r="A103" s="70" t="s">
        <v>126</v>
      </c>
      <c r="B103" s="74">
        <v>46028.0</v>
      </c>
      <c r="C103" s="71"/>
      <c r="D103" s="70">
        <f t="shared" si="5"/>
        <v>31.584</v>
      </c>
      <c r="E103" s="70">
        <v>0.0</v>
      </c>
      <c r="F103" s="70">
        <f t="shared" si="6"/>
        <v>31.584</v>
      </c>
      <c r="G103" s="70">
        <v>4.0</v>
      </c>
      <c r="H103" s="70">
        <v>30.0</v>
      </c>
      <c r="I103" s="70">
        <v>29.0</v>
      </c>
      <c r="J103" s="70">
        <v>44.0</v>
      </c>
      <c r="K103" s="70">
        <v>30.65</v>
      </c>
      <c r="L103" s="70">
        <v>0.934</v>
      </c>
      <c r="M103" s="70">
        <v>0.0</v>
      </c>
      <c r="N103" s="70">
        <v>0.0</v>
      </c>
      <c r="O103" s="70">
        <v>31.584</v>
      </c>
      <c r="P103" s="71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</row>
    <row r="104">
      <c r="A104" s="27" t="s">
        <v>183</v>
      </c>
      <c r="B104" s="103">
        <v>46028.0</v>
      </c>
      <c r="C104" s="62"/>
      <c r="D104" s="61">
        <f t="shared" si="5"/>
        <v>31.584</v>
      </c>
      <c r="E104" s="61">
        <v>0.0</v>
      </c>
      <c r="F104" s="61">
        <v>31.584</v>
      </c>
      <c r="G104" s="61">
        <v>0.0</v>
      </c>
      <c r="H104" s="61">
        <v>0.0</v>
      </c>
      <c r="I104" s="61">
        <v>-1.0</v>
      </c>
      <c r="J104" s="61">
        <v>0.0</v>
      </c>
      <c r="K104" s="61">
        <v>0.25</v>
      </c>
      <c r="L104" s="61">
        <v>0.0</v>
      </c>
      <c r="M104" s="61">
        <v>0.25</v>
      </c>
      <c r="N104" s="61">
        <v>0.0</v>
      </c>
      <c r="O104" s="61">
        <v>31.334</v>
      </c>
      <c r="P104" s="62"/>
      <c r="Q104" s="62"/>
      <c r="R104" s="62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>
      <c r="A105" s="70" t="s">
        <v>126</v>
      </c>
      <c r="B105" s="74">
        <v>46118.0</v>
      </c>
      <c r="C105" s="71"/>
      <c r="D105" s="70">
        <f t="shared" si="5"/>
        <v>31.334</v>
      </c>
      <c r="E105" s="70">
        <v>0.0</v>
      </c>
      <c r="F105" s="70">
        <f t="shared" ref="F105:F106" si="7">D105+E105</f>
        <v>31.334</v>
      </c>
      <c r="G105" s="70">
        <v>4.0</v>
      </c>
      <c r="H105" s="70">
        <v>30.0</v>
      </c>
      <c r="I105" s="70">
        <v>28.0</v>
      </c>
      <c r="J105" s="70">
        <v>44.0</v>
      </c>
      <c r="K105" s="70">
        <v>30.4</v>
      </c>
      <c r="L105" s="70">
        <v>0.934</v>
      </c>
      <c r="M105" s="70">
        <v>0.0</v>
      </c>
      <c r="N105" s="70">
        <v>0.0</v>
      </c>
      <c r="O105" s="70">
        <v>31.334</v>
      </c>
      <c r="P105" s="71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</row>
    <row r="106">
      <c r="A106" s="36"/>
      <c r="B106" s="59">
        <v>46118.0</v>
      </c>
      <c r="C106" s="36"/>
      <c r="D106" s="94">
        <f t="shared" si="5"/>
        <v>31.334</v>
      </c>
      <c r="E106" s="35">
        <v>0.25</v>
      </c>
      <c r="F106" s="94">
        <f t="shared" si="7"/>
        <v>31.584</v>
      </c>
      <c r="G106" s="35">
        <v>0.0</v>
      </c>
      <c r="H106" s="35">
        <v>0.0</v>
      </c>
      <c r="I106" s="35">
        <v>1.0</v>
      </c>
      <c r="J106" s="35">
        <v>0.0</v>
      </c>
      <c r="K106" s="35">
        <v>0.25</v>
      </c>
      <c r="L106" s="35">
        <v>0.0</v>
      </c>
      <c r="M106" s="35">
        <v>0.0</v>
      </c>
      <c r="N106" s="35">
        <v>0.0</v>
      </c>
      <c r="O106" s="35">
        <v>31.584</v>
      </c>
      <c r="P106" s="36"/>
    </row>
    <row r="107">
      <c r="A107" s="104" t="s">
        <v>126</v>
      </c>
      <c r="B107" s="74">
        <v>46179.0</v>
      </c>
      <c r="C107" s="71"/>
      <c r="D107" s="70">
        <f t="shared" si="5"/>
        <v>31.584</v>
      </c>
      <c r="E107" s="70">
        <v>0.0</v>
      </c>
      <c r="F107" s="70">
        <v>31.584</v>
      </c>
      <c r="G107" s="70">
        <v>4.0</v>
      </c>
      <c r="H107" s="70">
        <v>30.0</v>
      </c>
      <c r="I107" s="70">
        <v>29.0</v>
      </c>
      <c r="J107" s="70">
        <v>44.0</v>
      </c>
      <c r="K107" s="70">
        <v>30.65</v>
      </c>
      <c r="L107" s="70">
        <v>0.934</v>
      </c>
      <c r="M107" s="70">
        <v>0.0</v>
      </c>
      <c r="N107" s="70">
        <v>0.0</v>
      </c>
      <c r="O107" s="70">
        <v>31.584</v>
      </c>
      <c r="P107" s="71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</row>
    <row r="108">
      <c r="A108" s="36"/>
      <c r="B108" s="59">
        <v>46179.0</v>
      </c>
      <c r="C108" s="36"/>
      <c r="D108" s="94">
        <f t="shared" si="5"/>
        <v>31.584</v>
      </c>
      <c r="E108" s="35">
        <v>0.25</v>
      </c>
      <c r="F108" s="94">
        <f t="shared" ref="F108:F112" si="8">D108+E108</f>
        <v>31.834</v>
      </c>
      <c r="G108" s="35">
        <v>0.0</v>
      </c>
      <c r="H108" s="35">
        <v>0.0</v>
      </c>
      <c r="I108" s="35">
        <v>1.0</v>
      </c>
      <c r="J108" s="35">
        <v>0.0</v>
      </c>
      <c r="K108" s="35">
        <v>0.25</v>
      </c>
      <c r="L108" s="35">
        <v>0.0</v>
      </c>
      <c r="M108" s="35">
        <v>0.0</v>
      </c>
      <c r="N108" s="35">
        <v>0.0</v>
      </c>
      <c r="O108" s="35">
        <v>31.834</v>
      </c>
      <c r="P108" s="36"/>
    </row>
    <row r="109">
      <c r="A109" s="36"/>
      <c r="B109" s="59">
        <v>46240.0</v>
      </c>
      <c r="C109" s="36"/>
      <c r="D109" s="94">
        <f t="shared" si="5"/>
        <v>31.834</v>
      </c>
      <c r="E109" s="35">
        <v>0.5</v>
      </c>
      <c r="F109" s="94">
        <f t="shared" si="8"/>
        <v>32.334</v>
      </c>
      <c r="G109" s="35">
        <v>0.0</v>
      </c>
      <c r="H109" s="35">
        <v>0.0</v>
      </c>
      <c r="I109" s="35">
        <v>2.0</v>
      </c>
      <c r="J109" s="35">
        <v>0.0</v>
      </c>
      <c r="K109" s="35">
        <v>0.5</v>
      </c>
      <c r="L109" s="35">
        <v>0.0</v>
      </c>
      <c r="M109" s="35">
        <v>0.0</v>
      </c>
      <c r="N109" s="35">
        <v>0.0</v>
      </c>
      <c r="O109" s="35">
        <v>32.334</v>
      </c>
      <c r="P109" s="36"/>
    </row>
    <row r="110">
      <c r="A110" s="104" t="s">
        <v>126</v>
      </c>
      <c r="B110" s="74">
        <v>46362.0</v>
      </c>
      <c r="C110" s="71"/>
      <c r="D110" s="70">
        <f t="shared" si="5"/>
        <v>32.334</v>
      </c>
      <c r="E110" s="70">
        <v>0.0</v>
      </c>
      <c r="F110" s="70">
        <f t="shared" si="8"/>
        <v>32.334</v>
      </c>
      <c r="G110" s="70">
        <v>4.0</v>
      </c>
      <c r="H110" s="70">
        <v>30.0</v>
      </c>
      <c r="I110" s="70">
        <v>32.0</v>
      </c>
      <c r="J110" s="70">
        <v>44.0</v>
      </c>
      <c r="K110" s="70">
        <v>31.4</v>
      </c>
      <c r="L110" s="70">
        <v>0.934</v>
      </c>
      <c r="M110" s="70">
        <v>0.0</v>
      </c>
      <c r="N110" s="70">
        <v>0.0</v>
      </c>
      <c r="O110" s="70">
        <v>32.334</v>
      </c>
      <c r="P110" s="71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</row>
    <row r="111">
      <c r="A111" s="87"/>
      <c r="B111" s="85">
        <v>46362.0</v>
      </c>
      <c r="C111" s="87"/>
      <c r="D111" s="86">
        <f t="shared" si="5"/>
        <v>32.334</v>
      </c>
      <c r="E111" s="86">
        <v>0.0</v>
      </c>
      <c r="F111" s="86">
        <f t="shared" si="8"/>
        <v>32.334</v>
      </c>
      <c r="G111" s="86">
        <v>0.0</v>
      </c>
      <c r="H111" s="86">
        <v>-8.0</v>
      </c>
      <c r="I111" s="86">
        <v>0.0</v>
      </c>
      <c r="J111" s="86">
        <v>-1.0</v>
      </c>
      <c r="K111" s="86">
        <v>-4.1</v>
      </c>
      <c r="L111" s="86">
        <v>0.0</v>
      </c>
      <c r="M111" s="86">
        <v>0.0</v>
      </c>
      <c r="N111" s="86">
        <v>0.0</v>
      </c>
      <c r="O111" s="86">
        <v>28.234</v>
      </c>
      <c r="P111" s="87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</row>
    <row r="112">
      <c r="A112" s="36"/>
      <c r="B112" s="59">
        <v>46362.0</v>
      </c>
      <c r="C112" s="36"/>
      <c r="D112" s="94">
        <f t="shared" si="5"/>
        <v>28.234</v>
      </c>
      <c r="E112" s="35">
        <v>0.0</v>
      </c>
      <c r="F112" s="94">
        <f t="shared" si="8"/>
        <v>28.234</v>
      </c>
      <c r="G112" s="35">
        <v>4.0</v>
      </c>
      <c r="H112" s="35">
        <v>0.0</v>
      </c>
      <c r="I112" s="35">
        <v>0.0</v>
      </c>
      <c r="J112" s="35">
        <v>0.0</v>
      </c>
      <c r="K112" s="35">
        <v>4.0</v>
      </c>
      <c r="L112" s="35">
        <v>0.0</v>
      </c>
      <c r="M112" s="35">
        <v>0.0</v>
      </c>
      <c r="N112" s="35">
        <v>0.0</v>
      </c>
      <c r="O112" s="35">
        <v>32.334</v>
      </c>
      <c r="P112" s="36"/>
    </row>
    <row r="113">
      <c r="A113" s="36"/>
      <c r="B113" s="59">
        <v>46362.0</v>
      </c>
      <c r="C113" s="36"/>
      <c r="D113" s="94">
        <f t="shared" si="5"/>
        <v>32.334</v>
      </c>
      <c r="E113" s="35">
        <v>0.75</v>
      </c>
      <c r="F113" s="35">
        <v>32.984</v>
      </c>
      <c r="G113" s="35">
        <v>0.0</v>
      </c>
      <c r="H113" s="35">
        <v>0.0</v>
      </c>
      <c r="I113" s="35">
        <v>3.0</v>
      </c>
      <c r="J113" s="35">
        <v>0.0</v>
      </c>
      <c r="K113" s="35">
        <v>0.75</v>
      </c>
      <c r="L113" s="35">
        <v>0.0</v>
      </c>
      <c r="M113" s="35">
        <v>0.0</v>
      </c>
      <c r="N113" s="35">
        <v>0.0</v>
      </c>
      <c r="O113" s="35">
        <v>32.984</v>
      </c>
      <c r="P113" s="36"/>
    </row>
    <row r="114">
      <c r="A114" s="71"/>
      <c r="B114" s="69" t="s">
        <v>184</v>
      </c>
      <c r="C114" s="71"/>
      <c r="D114" s="70">
        <v>32.984</v>
      </c>
      <c r="E114" s="70">
        <v>0.0</v>
      </c>
      <c r="F114" s="70">
        <v>32.984</v>
      </c>
      <c r="G114" s="70">
        <v>8.0</v>
      </c>
      <c r="H114" s="70">
        <v>22.0</v>
      </c>
      <c r="I114" s="70">
        <v>35.0</v>
      </c>
      <c r="J114" s="70">
        <v>43.0</v>
      </c>
      <c r="K114" s="70">
        <v>32.05</v>
      </c>
      <c r="L114" s="70">
        <v>0.934</v>
      </c>
      <c r="M114" s="70">
        <v>0.0</v>
      </c>
      <c r="N114" s="70">
        <v>0.0</v>
      </c>
      <c r="O114" s="70">
        <v>32.984</v>
      </c>
      <c r="P114" s="71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</row>
    <row r="115">
      <c r="A115" s="61" t="s">
        <v>185</v>
      </c>
      <c r="B115" s="63" t="s">
        <v>184</v>
      </c>
      <c r="C115" s="62"/>
      <c r="D115" s="61">
        <f t="shared" ref="D115:D128" si="9">O114</f>
        <v>32.984</v>
      </c>
      <c r="E115" s="61">
        <v>0.0</v>
      </c>
      <c r="F115" s="61">
        <v>32.984</v>
      </c>
      <c r="G115" s="61">
        <v>4.0</v>
      </c>
      <c r="H115" s="61">
        <v>4.0</v>
      </c>
      <c r="I115" s="61">
        <v>0.0</v>
      </c>
      <c r="J115" s="61">
        <v>0.0</v>
      </c>
      <c r="K115" s="61">
        <v>0.6</v>
      </c>
      <c r="L115" s="61">
        <v>0.0</v>
      </c>
      <c r="M115" s="61">
        <v>0.0</v>
      </c>
      <c r="N115" s="61">
        <v>0.6</v>
      </c>
      <c r="O115" s="61">
        <v>32.384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>
      <c r="A116" s="61" t="s">
        <v>186</v>
      </c>
      <c r="B116" s="63" t="s">
        <v>184</v>
      </c>
      <c r="C116" s="62"/>
      <c r="D116" s="61">
        <f t="shared" si="9"/>
        <v>32.384</v>
      </c>
      <c r="E116" s="61">
        <v>0.0</v>
      </c>
      <c r="F116" s="61">
        <v>32.384</v>
      </c>
      <c r="G116" s="61">
        <v>0.0</v>
      </c>
      <c r="H116" s="61">
        <v>1.0</v>
      </c>
      <c r="I116" s="61">
        <v>0.0</v>
      </c>
      <c r="J116" s="61">
        <v>0.0</v>
      </c>
      <c r="K116" s="61">
        <v>0.1</v>
      </c>
      <c r="L116" s="61">
        <v>0.0</v>
      </c>
      <c r="M116" s="61">
        <v>0.1</v>
      </c>
      <c r="N116" s="61">
        <v>0.0</v>
      </c>
      <c r="O116" s="61">
        <v>32.284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>
      <c r="A117" s="70" t="s">
        <v>126</v>
      </c>
      <c r="B117" s="69" t="s">
        <v>184</v>
      </c>
      <c r="C117" s="71"/>
      <c r="D117" s="70">
        <f t="shared" si="9"/>
        <v>32.284</v>
      </c>
      <c r="E117" s="70">
        <v>0.0</v>
      </c>
      <c r="F117" s="70">
        <v>32.284</v>
      </c>
      <c r="G117" s="70">
        <v>4.0</v>
      </c>
      <c r="H117" s="70">
        <v>17.0</v>
      </c>
      <c r="I117" s="70">
        <v>35.0</v>
      </c>
      <c r="J117" s="70">
        <v>43.0</v>
      </c>
      <c r="K117" s="71"/>
      <c r="L117" s="71"/>
      <c r="M117" s="71"/>
      <c r="N117" s="71"/>
      <c r="O117" s="71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</row>
    <row r="118">
      <c r="A118" s="36"/>
      <c r="B118" s="64"/>
      <c r="C118" s="36"/>
      <c r="D118" s="94" t="str">
        <f t="shared" si="9"/>
        <v/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>
      <c r="A119" s="36"/>
      <c r="B119" s="64"/>
      <c r="C119" s="36"/>
      <c r="D119" s="94" t="str">
        <f t="shared" si="9"/>
        <v/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>
      <c r="A120" s="36"/>
      <c r="B120" s="64"/>
      <c r="C120" s="36"/>
      <c r="D120" s="94" t="str">
        <f t="shared" si="9"/>
        <v/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>
      <c r="A121" s="36"/>
      <c r="B121" s="64"/>
      <c r="C121" s="36"/>
      <c r="D121" s="94" t="str">
        <f t="shared" si="9"/>
        <v/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>
      <c r="A122" s="36"/>
      <c r="B122" s="64"/>
      <c r="C122" s="36"/>
      <c r="D122" s="94" t="str">
        <f t="shared" si="9"/>
        <v/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>
      <c r="A123" s="36"/>
      <c r="B123" s="64"/>
      <c r="C123" s="36"/>
      <c r="D123" s="94" t="str">
        <f t="shared" si="9"/>
        <v/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>
      <c r="A124" s="36"/>
      <c r="B124" s="64"/>
      <c r="C124" s="36"/>
      <c r="D124" s="94" t="str">
        <f t="shared" si="9"/>
        <v/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>
      <c r="A125" s="36"/>
      <c r="B125" s="64"/>
      <c r="C125" s="36"/>
      <c r="D125" s="94" t="str">
        <f t="shared" si="9"/>
        <v/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>
      <c r="A126" s="36"/>
      <c r="B126" s="64"/>
      <c r="C126" s="36"/>
      <c r="D126" s="94" t="str">
        <f t="shared" si="9"/>
        <v/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>
      <c r="A127" s="36"/>
      <c r="B127" s="64"/>
      <c r="C127" s="36"/>
      <c r="D127" s="94" t="str">
        <f t="shared" si="9"/>
        <v/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>
      <c r="A128" s="36"/>
      <c r="B128" s="64"/>
      <c r="C128" s="36"/>
      <c r="D128" s="94" t="str">
        <f t="shared" si="9"/>
        <v/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>
      <c r="A129" s="36"/>
      <c r="B129" s="64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>
      <c r="A130" s="36"/>
      <c r="B130" s="64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>
      <c r="B131" s="105"/>
    </row>
    <row r="132">
      <c r="B132" s="105"/>
    </row>
    <row r="133">
      <c r="B133" s="105"/>
    </row>
    <row r="134">
      <c r="B134" s="105"/>
    </row>
    <row r="135">
      <c r="B135" s="105"/>
    </row>
    <row r="136">
      <c r="B136" s="105"/>
    </row>
    <row r="137">
      <c r="B137" s="105"/>
    </row>
    <row r="138">
      <c r="B138" s="105"/>
    </row>
    <row r="139">
      <c r="B139" s="105"/>
    </row>
    <row r="140">
      <c r="B140" s="105"/>
    </row>
    <row r="141">
      <c r="B141" s="105"/>
    </row>
    <row r="142">
      <c r="B142" s="105"/>
    </row>
    <row r="143">
      <c r="B143" s="105"/>
    </row>
    <row r="144">
      <c r="B144" s="105"/>
    </row>
    <row r="145">
      <c r="B145" s="105"/>
    </row>
    <row r="146">
      <c r="B146" s="105"/>
    </row>
    <row r="147">
      <c r="B147" s="105"/>
    </row>
    <row r="148">
      <c r="B148" s="105"/>
    </row>
    <row r="149">
      <c r="B149" s="105"/>
    </row>
    <row r="150">
      <c r="B150" s="105"/>
    </row>
    <row r="151">
      <c r="B151" s="105"/>
    </row>
    <row r="152">
      <c r="B152" s="105"/>
    </row>
    <row r="153">
      <c r="B153" s="105"/>
    </row>
    <row r="154">
      <c r="B154" s="105"/>
    </row>
    <row r="155">
      <c r="B155" s="105"/>
    </row>
    <row r="156">
      <c r="B156" s="105"/>
    </row>
    <row r="157">
      <c r="B157" s="105"/>
    </row>
    <row r="158">
      <c r="B158" s="105"/>
    </row>
    <row r="159">
      <c r="B159" s="105"/>
    </row>
    <row r="160">
      <c r="B160" s="105"/>
    </row>
    <row r="161">
      <c r="B161" s="105"/>
    </row>
    <row r="162">
      <c r="B162" s="105"/>
    </row>
    <row r="163">
      <c r="B163" s="105"/>
    </row>
    <row r="164">
      <c r="B164" s="105"/>
    </row>
    <row r="165">
      <c r="B165" s="105"/>
    </row>
    <row r="166">
      <c r="B166" s="105"/>
    </row>
    <row r="167">
      <c r="B167" s="105"/>
    </row>
    <row r="168">
      <c r="B168" s="105"/>
    </row>
    <row r="169">
      <c r="B169" s="105"/>
    </row>
    <row r="170">
      <c r="B170" s="105"/>
    </row>
    <row r="171">
      <c r="B171" s="105"/>
    </row>
    <row r="172">
      <c r="B172" s="105"/>
    </row>
    <row r="173">
      <c r="B173" s="105"/>
    </row>
    <row r="174">
      <c r="B174" s="105"/>
    </row>
    <row r="175">
      <c r="B175" s="105"/>
    </row>
    <row r="176">
      <c r="B176" s="105"/>
    </row>
    <row r="177">
      <c r="B177" s="105"/>
    </row>
    <row r="178">
      <c r="B178" s="105"/>
    </row>
    <row r="179">
      <c r="B179" s="105"/>
    </row>
    <row r="180">
      <c r="B180" s="105"/>
    </row>
    <row r="181">
      <c r="B181" s="105"/>
    </row>
    <row r="182">
      <c r="B182" s="105"/>
    </row>
    <row r="183">
      <c r="B183" s="105"/>
    </row>
    <row r="184">
      <c r="B184" s="105"/>
    </row>
    <row r="185">
      <c r="B185" s="105"/>
    </row>
    <row r="186">
      <c r="B186" s="105"/>
    </row>
    <row r="187">
      <c r="B187" s="105"/>
    </row>
    <row r="188">
      <c r="B188" s="105"/>
    </row>
    <row r="189">
      <c r="B189" s="105"/>
    </row>
    <row r="190">
      <c r="B190" s="105"/>
    </row>
    <row r="191">
      <c r="B191" s="105"/>
    </row>
    <row r="192">
      <c r="B192" s="105"/>
    </row>
    <row r="193">
      <c r="B193" s="105"/>
    </row>
    <row r="194">
      <c r="B194" s="105"/>
    </row>
    <row r="195">
      <c r="B195" s="105"/>
    </row>
    <row r="196">
      <c r="B196" s="105"/>
    </row>
    <row r="197">
      <c r="B197" s="105"/>
    </row>
    <row r="198">
      <c r="B198" s="105"/>
    </row>
    <row r="199">
      <c r="B199" s="105"/>
    </row>
    <row r="200">
      <c r="B200" s="105"/>
    </row>
    <row r="201">
      <c r="B201" s="105"/>
    </row>
    <row r="202">
      <c r="B202" s="105"/>
    </row>
    <row r="203">
      <c r="B203" s="105"/>
    </row>
    <row r="204">
      <c r="B204" s="105"/>
    </row>
    <row r="205">
      <c r="B205" s="105"/>
    </row>
    <row r="206">
      <c r="B206" s="105"/>
    </row>
    <row r="207">
      <c r="B207" s="105"/>
    </row>
    <row r="208">
      <c r="B208" s="105"/>
    </row>
    <row r="209">
      <c r="B209" s="105"/>
    </row>
    <row r="210">
      <c r="B210" s="105"/>
    </row>
    <row r="211">
      <c r="B211" s="105"/>
    </row>
    <row r="212">
      <c r="B212" s="105"/>
    </row>
    <row r="213">
      <c r="B213" s="105"/>
    </row>
    <row r="214">
      <c r="B214" s="105"/>
    </row>
    <row r="215">
      <c r="B215" s="105"/>
    </row>
    <row r="216">
      <c r="B216" s="105"/>
    </row>
    <row r="217">
      <c r="B217" s="105"/>
    </row>
    <row r="218">
      <c r="B218" s="105"/>
    </row>
    <row r="219">
      <c r="B219" s="105"/>
    </row>
    <row r="220">
      <c r="B220" s="105"/>
    </row>
    <row r="221">
      <c r="B221" s="105"/>
    </row>
    <row r="222">
      <c r="B222" s="105"/>
    </row>
    <row r="223">
      <c r="B223" s="105"/>
    </row>
    <row r="224">
      <c r="B224" s="105"/>
    </row>
    <row r="225">
      <c r="B225" s="105"/>
    </row>
    <row r="226">
      <c r="B226" s="105"/>
    </row>
    <row r="227">
      <c r="B227" s="105"/>
    </row>
    <row r="228">
      <c r="B228" s="105"/>
    </row>
    <row r="229">
      <c r="B229" s="105"/>
    </row>
    <row r="230">
      <c r="B230" s="105"/>
    </row>
    <row r="231">
      <c r="B231" s="105"/>
    </row>
    <row r="232">
      <c r="B232" s="105"/>
    </row>
    <row r="233">
      <c r="B233" s="105"/>
    </row>
    <row r="234">
      <c r="B234" s="105"/>
    </row>
    <row r="235">
      <c r="B235" s="105"/>
    </row>
    <row r="236">
      <c r="B236" s="105"/>
    </row>
    <row r="237">
      <c r="B237" s="105"/>
    </row>
    <row r="238">
      <c r="B238" s="105"/>
    </row>
    <row r="239">
      <c r="B239" s="105"/>
    </row>
    <row r="240">
      <c r="B240" s="105"/>
    </row>
    <row r="241">
      <c r="B241" s="105"/>
    </row>
    <row r="242">
      <c r="B242" s="105"/>
    </row>
    <row r="243">
      <c r="B243" s="105"/>
    </row>
    <row r="244">
      <c r="B244" s="105"/>
    </row>
    <row r="245">
      <c r="B245" s="105"/>
    </row>
    <row r="246">
      <c r="B246" s="105"/>
    </row>
    <row r="247">
      <c r="B247" s="105"/>
    </row>
    <row r="248">
      <c r="B248" s="105"/>
    </row>
    <row r="249">
      <c r="B249" s="105"/>
    </row>
    <row r="250">
      <c r="B250" s="105"/>
    </row>
    <row r="251">
      <c r="B251" s="105"/>
    </row>
    <row r="252">
      <c r="B252" s="105"/>
    </row>
    <row r="253">
      <c r="B253" s="105"/>
    </row>
    <row r="254">
      <c r="B254" s="105"/>
    </row>
    <row r="255">
      <c r="B255" s="105"/>
    </row>
    <row r="256">
      <c r="B256" s="105"/>
    </row>
    <row r="257">
      <c r="B257" s="105"/>
    </row>
    <row r="258">
      <c r="B258" s="105"/>
    </row>
    <row r="259">
      <c r="B259" s="105"/>
    </row>
    <row r="260">
      <c r="B260" s="105"/>
    </row>
    <row r="261">
      <c r="B261" s="105"/>
    </row>
    <row r="262">
      <c r="B262" s="105"/>
    </row>
    <row r="263">
      <c r="B263" s="105"/>
    </row>
    <row r="264">
      <c r="B264" s="105"/>
    </row>
    <row r="265">
      <c r="B265" s="105"/>
    </row>
    <row r="266">
      <c r="B266" s="105"/>
    </row>
    <row r="267">
      <c r="B267" s="105"/>
    </row>
    <row r="268">
      <c r="B268" s="105"/>
    </row>
    <row r="269">
      <c r="B269" s="105"/>
    </row>
    <row r="270">
      <c r="B270" s="105"/>
    </row>
    <row r="271">
      <c r="B271" s="105"/>
    </row>
    <row r="272">
      <c r="B272" s="105"/>
    </row>
    <row r="273">
      <c r="B273" s="105"/>
    </row>
    <row r="274">
      <c r="B274" s="105"/>
    </row>
    <row r="275">
      <c r="B275" s="105"/>
    </row>
    <row r="276">
      <c r="B276" s="105"/>
    </row>
    <row r="277">
      <c r="B277" s="105"/>
    </row>
    <row r="278">
      <c r="B278" s="105"/>
    </row>
    <row r="279">
      <c r="B279" s="105"/>
    </row>
    <row r="280">
      <c r="B280" s="105"/>
    </row>
    <row r="281">
      <c r="B281" s="105"/>
    </row>
    <row r="282">
      <c r="B282" s="105"/>
    </row>
    <row r="283">
      <c r="B283" s="105"/>
    </row>
    <row r="284">
      <c r="B284" s="105"/>
    </row>
    <row r="285">
      <c r="B285" s="105"/>
    </row>
    <row r="286">
      <c r="B286" s="105"/>
    </row>
    <row r="287">
      <c r="B287" s="105"/>
    </row>
    <row r="288">
      <c r="B288" s="105"/>
    </row>
    <row r="289">
      <c r="B289" s="105"/>
    </row>
    <row r="290">
      <c r="B290" s="105"/>
    </row>
    <row r="291">
      <c r="B291" s="105"/>
    </row>
    <row r="292">
      <c r="B292" s="105"/>
    </row>
    <row r="293">
      <c r="B293" s="105"/>
    </row>
    <row r="294">
      <c r="B294" s="105"/>
    </row>
    <row r="295">
      <c r="B295" s="105"/>
    </row>
    <row r="296">
      <c r="B296" s="105"/>
    </row>
    <row r="297">
      <c r="B297" s="105"/>
    </row>
    <row r="298">
      <c r="B298" s="105"/>
    </row>
    <row r="299">
      <c r="B299" s="105"/>
    </row>
    <row r="300">
      <c r="B300" s="105"/>
    </row>
    <row r="301">
      <c r="B301" s="105"/>
    </row>
    <row r="302">
      <c r="B302" s="105"/>
    </row>
    <row r="303">
      <c r="B303" s="105"/>
    </row>
    <row r="304">
      <c r="B304" s="105"/>
    </row>
    <row r="305">
      <c r="B305" s="105"/>
    </row>
    <row r="306">
      <c r="B306" s="105"/>
    </row>
    <row r="307">
      <c r="B307" s="105"/>
    </row>
    <row r="308">
      <c r="B308" s="105"/>
    </row>
    <row r="309">
      <c r="B309" s="105"/>
    </row>
    <row r="310">
      <c r="B310" s="105"/>
    </row>
    <row r="311">
      <c r="B311" s="105"/>
    </row>
    <row r="312">
      <c r="B312" s="105"/>
    </row>
    <row r="313">
      <c r="B313" s="105"/>
    </row>
    <row r="314">
      <c r="B314" s="105"/>
    </row>
    <row r="315">
      <c r="B315" s="105"/>
    </row>
    <row r="316">
      <c r="B316" s="105"/>
    </row>
    <row r="317">
      <c r="B317" s="105"/>
    </row>
    <row r="318">
      <c r="B318" s="105"/>
    </row>
    <row r="319">
      <c r="B319" s="105"/>
    </row>
    <row r="320">
      <c r="B320" s="105"/>
    </row>
    <row r="321">
      <c r="B321" s="105"/>
    </row>
    <row r="322">
      <c r="B322" s="105"/>
    </row>
    <row r="323">
      <c r="B323" s="105"/>
    </row>
    <row r="324">
      <c r="B324" s="105"/>
    </row>
    <row r="325">
      <c r="B325" s="105"/>
    </row>
    <row r="326">
      <c r="B326" s="105"/>
    </row>
    <row r="327">
      <c r="B327" s="105"/>
    </row>
    <row r="328">
      <c r="B328" s="105"/>
    </row>
    <row r="329">
      <c r="B329" s="105"/>
    </row>
    <row r="330">
      <c r="B330" s="105"/>
    </row>
    <row r="331">
      <c r="B331" s="105"/>
    </row>
    <row r="332">
      <c r="B332" s="105"/>
    </row>
    <row r="333">
      <c r="B333" s="105"/>
    </row>
    <row r="334">
      <c r="B334" s="105"/>
    </row>
    <row r="335">
      <c r="B335" s="105"/>
    </row>
    <row r="336">
      <c r="B336" s="105"/>
    </row>
    <row r="337">
      <c r="B337" s="105"/>
    </row>
    <row r="338">
      <c r="B338" s="105"/>
    </row>
    <row r="339">
      <c r="B339" s="105"/>
    </row>
    <row r="340">
      <c r="B340" s="105"/>
    </row>
    <row r="341">
      <c r="B341" s="105"/>
    </row>
    <row r="342">
      <c r="B342" s="105"/>
    </row>
    <row r="343">
      <c r="B343" s="105"/>
    </row>
    <row r="344">
      <c r="B344" s="105"/>
    </row>
    <row r="345">
      <c r="B345" s="105"/>
    </row>
    <row r="346">
      <c r="B346" s="105"/>
    </row>
    <row r="347">
      <c r="B347" s="105"/>
    </row>
    <row r="348">
      <c r="B348" s="105"/>
    </row>
    <row r="349">
      <c r="B349" s="105"/>
    </row>
    <row r="350">
      <c r="B350" s="105"/>
    </row>
    <row r="351">
      <c r="B351" s="105"/>
    </row>
    <row r="352">
      <c r="B352" s="105"/>
    </row>
    <row r="353">
      <c r="B353" s="105"/>
    </row>
    <row r="354">
      <c r="B354" s="105"/>
    </row>
    <row r="355">
      <c r="B355" s="105"/>
    </row>
    <row r="356">
      <c r="B356" s="105"/>
    </row>
    <row r="357">
      <c r="B357" s="105"/>
    </row>
    <row r="358">
      <c r="B358" s="105"/>
    </row>
    <row r="359">
      <c r="B359" s="105"/>
    </row>
    <row r="360">
      <c r="B360" s="105"/>
    </row>
    <row r="361">
      <c r="B361" s="105"/>
    </row>
    <row r="362">
      <c r="B362" s="105"/>
    </row>
    <row r="363">
      <c r="B363" s="105"/>
    </row>
    <row r="364">
      <c r="B364" s="105"/>
    </row>
    <row r="365">
      <c r="B365" s="105"/>
    </row>
    <row r="366">
      <c r="B366" s="105"/>
    </row>
    <row r="367">
      <c r="B367" s="105"/>
    </row>
    <row r="368">
      <c r="B368" s="105"/>
    </row>
    <row r="369">
      <c r="B369" s="105"/>
    </row>
    <row r="370">
      <c r="B370" s="105"/>
    </row>
    <row r="371">
      <c r="B371" s="105"/>
    </row>
    <row r="372">
      <c r="B372" s="105"/>
    </row>
    <row r="373">
      <c r="B373" s="105"/>
    </row>
    <row r="374">
      <c r="B374" s="105"/>
    </row>
    <row r="375">
      <c r="B375" s="105"/>
    </row>
    <row r="376">
      <c r="B376" s="105"/>
    </row>
    <row r="377">
      <c r="B377" s="105"/>
    </row>
    <row r="378">
      <c r="B378" s="105"/>
    </row>
    <row r="379">
      <c r="B379" s="105"/>
    </row>
    <row r="380">
      <c r="B380" s="105"/>
    </row>
    <row r="381">
      <c r="B381" s="105"/>
    </row>
    <row r="382">
      <c r="B382" s="105"/>
    </row>
    <row r="383">
      <c r="B383" s="105"/>
    </row>
    <row r="384">
      <c r="B384" s="105"/>
    </row>
    <row r="385">
      <c r="B385" s="105"/>
    </row>
    <row r="386">
      <c r="B386" s="105"/>
    </row>
    <row r="387">
      <c r="B387" s="105"/>
    </row>
    <row r="388">
      <c r="B388" s="105"/>
    </row>
    <row r="389">
      <c r="B389" s="105"/>
    </row>
    <row r="390">
      <c r="B390" s="105"/>
    </row>
    <row r="391">
      <c r="B391" s="105"/>
    </row>
    <row r="392">
      <c r="B392" s="105"/>
    </row>
    <row r="393">
      <c r="B393" s="105"/>
    </row>
    <row r="394">
      <c r="B394" s="105"/>
    </row>
    <row r="395">
      <c r="B395" s="105"/>
    </row>
    <row r="396">
      <c r="B396" s="105"/>
    </row>
    <row r="397">
      <c r="B397" s="105"/>
    </row>
    <row r="398">
      <c r="B398" s="105"/>
    </row>
    <row r="399">
      <c r="B399" s="105"/>
    </row>
    <row r="400">
      <c r="B400" s="105"/>
    </row>
    <row r="401">
      <c r="B401" s="105"/>
    </row>
    <row r="402">
      <c r="B402" s="105"/>
    </row>
    <row r="403">
      <c r="B403" s="105"/>
    </row>
    <row r="404">
      <c r="B404" s="105"/>
    </row>
    <row r="405">
      <c r="B405" s="105"/>
    </row>
    <row r="406">
      <c r="B406" s="105"/>
    </row>
    <row r="407">
      <c r="B407" s="105"/>
    </row>
    <row r="408">
      <c r="B408" s="105"/>
    </row>
    <row r="409">
      <c r="B409" s="105"/>
    </row>
    <row r="410">
      <c r="B410" s="105"/>
    </row>
    <row r="411">
      <c r="B411" s="105"/>
    </row>
    <row r="412">
      <c r="B412" s="105"/>
    </row>
    <row r="413">
      <c r="B413" s="105"/>
    </row>
    <row r="414">
      <c r="B414" s="105"/>
    </row>
    <row r="415">
      <c r="B415" s="105"/>
    </row>
    <row r="416">
      <c r="B416" s="105"/>
    </row>
    <row r="417">
      <c r="B417" s="105"/>
    </row>
    <row r="418">
      <c r="B418" s="105"/>
    </row>
    <row r="419">
      <c r="B419" s="105"/>
    </row>
    <row r="420">
      <c r="B420" s="105"/>
    </row>
    <row r="421">
      <c r="B421" s="105"/>
    </row>
    <row r="422">
      <c r="B422" s="105"/>
    </row>
    <row r="423">
      <c r="B423" s="105"/>
    </row>
    <row r="424">
      <c r="B424" s="105"/>
    </row>
    <row r="425">
      <c r="B425" s="105"/>
    </row>
    <row r="426">
      <c r="B426" s="105"/>
    </row>
    <row r="427">
      <c r="B427" s="105"/>
    </row>
    <row r="428">
      <c r="B428" s="105"/>
    </row>
    <row r="429">
      <c r="B429" s="105"/>
    </row>
    <row r="430">
      <c r="B430" s="105"/>
    </row>
    <row r="431">
      <c r="B431" s="105"/>
    </row>
    <row r="432">
      <c r="B432" s="105"/>
    </row>
    <row r="433">
      <c r="B433" s="105"/>
    </row>
    <row r="434">
      <c r="B434" s="105"/>
    </row>
    <row r="435">
      <c r="B435" s="105"/>
    </row>
    <row r="436">
      <c r="B436" s="105"/>
    </row>
    <row r="437">
      <c r="B437" s="105"/>
    </row>
    <row r="438">
      <c r="B438" s="105"/>
    </row>
    <row r="439">
      <c r="B439" s="105"/>
    </row>
    <row r="440">
      <c r="B440" s="105"/>
    </row>
    <row r="441">
      <c r="B441" s="105"/>
    </row>
    <row r="442">
      <c r="B442" s="105"/>
    </row>
    <row r="443">
      <c r="B443" s="105"/>
    </row>
    <row r="444">
      <c r="B444" s="105"/>
    </row>
    <row r="445">
      <c r="B445" s="105"/>
    </row>
    <row r="446">
      <c r="B446" s="105"/>
    </row>
    <row r="447">
      <c r="B447" s="105"/>
    </row>
    <row r="448">
      <c r="B448" s="105"/>
    </row>
    <row r="449">
      <c r="B449" s="105"/>
    </row>
    <row r="450">
      <c r="B450" s="105"/>
    </row>
    <row r="451">
      <c r="B451" s="105"/>
    </row>
    <row r="452">
      <c r="B452" s="105"/>
    </row>
    <row r="453">
      <c r="B453" s="105"/>
    </row>
    <row r="454">
      <c r="B454" s="105"/>
    </row>
    <row r="455">
      <c r="B455" s="105"/>
    </row>
    <row r="456">
      <c r="B456" s="105"/>
    </row>
    <row r="457">
      <c r="B457" s="105"/>
    </row>
    <row r="458">
      <c r="B458" s="105"/>
    </row>
    <row r="459">
      <c r="B459" s="105"/>
    </row>
    <row r="460">
      <c r="B460" s="105"/>
    </row>
    <row r="461">
      <c r="B461" s="105"/>
    </row>
    <row r="462">
      <c r="B462" s="105"/>
    </row>
    <row r="463">
      <c r="B463" s="105"/>
    </row>
    <row r="464">
      <c r="B464" s="105"/>
    </row>
    <row r="465">
      <c r="B465" s="105"/>
    </row>
    <row r="466">
      <c r="B466" s="105"/>
    </row>
    <row r="467">
      <c r="B467" s="105"/>
    </row>
    <row r="468">
      <c r="B468" s="105"/>
    </row>
    <row r="469">
      <c r="B469" s="105"/>
    </row>
    <row r="470">
      <c r="B470" s="105"/>
    </row>
    <row r="471">
      <c r="B471" s="105"/>
    </row>
    <row r="472">
      <c r="B472" s="105"/>
    </row>
    <row r="473">
      <c r="B473" s="105"/>
    </row>
    <row r="474">
      <c r="B474" s="105"/>
    </row>
    <row r="475">
      <c r="B475" s="105"/>
    </row>
    <row r="476">
      <c r="B476" s="105"/>
    </row>
    <row r="477">
      <c r="B477" s="105"/>
    </row>
    <row r="478">
      <c r="B478" s="105"/>
    </row>
    <row r="479">
      <c r="B479" s="105"/>
    </row>
    <row r="480">
      <c r="B480" s="105"/>
    </row>
    <row r="481">
      <c r="B481" s="105"/>
    </row>
    <row r="482">
      <c r="B482" s="105"/>
    </row>
    <row r="483">
      <c r="B483" s="105"/>
    </row>
    <row r="484">
      <c r="B484" s="105"/>
    </row>
    <row r="485">
      <c r="B485" s="105"/>
    </row>
    <row r="486">
      <c r="B486" s="105"/>
    </row>
    <row r="487">
      <c r="B487" s="105"/>
    </row>
    <row r="488">
      <c r="B488" s="105"/>
    </row>
    <row r="489">
      <c r="B489" s="105"/>
    </row>
    <row r="490">
      <c r="B490" s="105"/>
    </row>
    <row r="491">
      <c r="B491" s="105"/>
    </row>
    <row r="492">
      <c r="B492" s="105"/>
    </row>
    <row r="493">
      <c r="B493" s="105"/>
    </row>
    <row r="494">
      <c r="B494" s="105"/>
    </row>
    <row r="495">
      <c r="B495" s="105"/>
    </row>
    <row r="496">
      <c r="B496" s="105"/>
    </row>
    <row r="497">
      <c r="B497" s="105"/>
    </row>
    <row r="498">
      <c r="B498" s="105"/>
    </row>
    <row r="499">
      <c r="B499" s="105"/>
    </row>
    <row r="500">
      <c r="B500" s="105"/>
    </row>
    <row r="501">
      <c r="B501" s="105"/>
    </row>
    <row r="502">
      <c r="B502" s="105"/>
    </row>
    <row r="503">
      <c r="B503" s="105"/>
    </row>
    <row r="504">
      <c r="B504" s="105"/>
    </row>
    <row r="505">
      <c r="B505" s="105"/>
    </row>
    <row r="506">
      <c r="B506" s="105"/>
    </row>
    <row r="507">
      <c r="B507" s="105"/>
    </row>
    <row r="508">
      <c r="B508" s="105"/>
    </row>
    <row r="509">
      <c r="B509" s="105"/>
    </row>
    <row r="510">
      <c r="B510" s="105"/>
    </row>
    <row r="511">
      <c r="B511" s="105"/>
    </row>
    <row r="512">
      <c r="B512" s="105"/>
    </row>
    <row r="513">
      <c r="B513" s="105"/>
    </row>
    <row r="514">
      <c r="B514" s="105"/>
    </row>
    <row r="515">
      <c r="B515" s="105"/>
    </row>
    <row r="516">
      <c r="B516" s="105"/>
    </row>
    <row r="517">
      <c r="B517" s="105"/>
    </row>
    <row r="518">
      <c r="B518" s="105"/>
    </row>
    <row r="519">
      <c r="B519" s="105"/>
    </row>
    <row r="520">
      <c r="B520" s="105"/>
    </row>
    <row r="521">
      <c r="B521" s="105"/>
    </row>
    <row r="522">
      <c r="B522" s="105"/>
    </row>
    <row r="523">
      <c r="B523" s="105"/>
    </row>
    <row r="524">
      <c r="B524" s="105"/>
    </row>
    <row r="525">
      <c r="B525" s="105"/>
    </row>
    <row r="526">
      <c r="B526" s="105"/>
    </row>
    <row r="527">
      <c r="B527" s="105"/>
    </row>
    <row r="528">
      <c r="B528" s="105"/>
    </row>
    <row r="529">
      <c r="B529" s="105"/>
    </row>
    <row r="530">
      <c r="B530" s="105"/>
    </row>
    <row r="531">
      <c r="B531" s="105"/>
    </row>
    <row r="532">
      <c r="B532" s="105"/>
    </row>
    <row r="533">
      <c r="B533" s="105"/>
    </row>
    <row r="534">
      <c r="B534" s="105"/>
    </row>
    <row r="535">
      <c r="B535" s="105"/>
    </row>
    <row r="536">
      <c r="B536" s="105"/>
    </row>
    <row r="537">
      <c r="B537" s="105"/>
    </row>
    <row r="538">
      <c r="B538" s="105"/>
    </row>
    <row r="539">
      <c r="B539" s="105"/>
    </row>
    <row r="540">
      <c r="B540" s="105"/>
    </row>
    <row r="541">
      <c r="B541" s="105"/>
    </row>
    <row r="542">
      <c r="B542" s="105"/>
    </row>
    <row r="543">
      <c r="B543" s="105"/>
    </row>
    <row r="544">
      <c r="B544" s="105"/>
    </row>
    <row r="545">
      <c r="B545" s="105"/>
    </row>
    <row r="546">
      <c r="B546" s="105"/>
    </row>
    <row r="547">
      <c r="B547" s="105"/>
    </row>
    <row r="548">
      <c r="B548" s="105"/>
    </row>
    <row r="549">
      <c r="B549" s="105"/>
    </row>
    <row r="550">
      <c r="B550" s="105"/>
    </row>
    <row r="551">
      <c r="B551" s="105"/>
    </row>
    <row r="552">
      <c r="B552" s="105"/>
    </row>
    <row r="553">
      <c r="B553" s="105"/>
    </row>
    <row r="554">
      <c r="B554" s="105"/>
    </row>
    <row r="555">
      <c r="B555" s="105"/>
    </row>
    <row r="556">
      <c r="B556" s="105"/>
    </row>
    <row r="557">
      <c r="B557" s="105"/>
    </row>
    <row r="558">
      <c r="B558" s="105"/>
    </row>
    <row r="559">
      <c r="B559" s="105"/>
    </row>
    <row r="560">
      <c r="B560" s="105"/>
    </row>
    <row r="561">
      <c r="B561" s="105"/>
    </row>
    <row r="562">
      <c r="B562" s="105"/>
    </row>
    <row r="563">
      <c r="B563" s="105"/>
    </row>
    <row r="564">
      <c r="B564" s="105"/>
    </row>
    <row r="565">
      <c r="B565" s="105"/>
    </row>
    <row r="566">
      <c r="B566" s="105"/>
    </row>
    <row r="567">
      <c r="B567" s="105"/>
    </row>
    <row r="568">
      <c r="B568" s="105"/>
    </row>
    <row r="569">
      <c r="B569" s="105"/>
    </row>
    <row r="570">
      <c r="B570" s="105"/>
    </row>
    <row r="571">
      <c r="B571" s="105"/>
    </row>
    <row r="572">
      <c r="B572" s="105"/>
    </row>
    <row r="573">
      <c r="B573" s="105"/>
    </row>
    <row r="574">
      <c r="B574" s="105"/>
    </row>
    <row r="575">
      <c r="B575" s="105"/>
    </row>
    <row r="576">
      <c r="B576" s="105"/>
    </row>
    <row r="577">
      <c r="B577" s="105"/>
    </row>
    <row r="578">
      <c r="B578" s="105"/>
    </row>
    <row r="579">
      <c r="B579" s="105"/>
    </row>
    <row r="580">
      <c r="B580" s="105"/>
    </row>
    <row r="581">
      <c r="B581" s="105"/>
    </row>
    <row r="582">
      <c r="B582" s="105"/>
    </row>
    <row r="583">
      <c r="B583" s="105"/>
    </row>
    <row r="584">
      <c r="B584" s="105"/>
    </row>
    <row r="585">
      <c r="B585" s="105"/>
    </row>
    <row r="586">
      <c r="B586" s="105"/>
    </row>
    <row r="587">
      <c r="B587" s="105"/>
    </row>
    <row r="588">
      <c r="B588" s="105"/>
    </row>
    <row r="589">
      <c r="B589" s="105"/>
    </row>
    <row r="590">
      <c r="B590" s="105"/>
    </row>
    <row r="591">
      <c r="B591" s="105"/>
    </row>
    <row r="592">
      <c r="B592" s="105"/>
    </row>
    <row r="593">
      <c r="B593" s="105"/>
    </row>
    <row r="594">
      <c r="B594" s="105"/>
    </row>
    <row r="595">
      <c r="B595" s="105"/>
    </row>
    <row r="596">
      <c r="B596" s="105"/>
    </row>
    <row r="597">
      <c r="B597" s="105"/>
    </row>
    <row r="598">
      <c r="B598" s="105"/>
    </row>
    <row r="599">
      <c r="B599" s="105"/>
    </row>
    <row r="600">
      <c r="B600" s="105"/>
    </row>
    <row r="601">
      <c r="B601" s="105"/>
    </row>
    <row r="602">
      <c r="B602" s="105"/>
    </row>
    <row r="603">
      <c r="B603" s="105"/>
    </row>
    <row r="604">
      <c r="B604" s="105"/>
    </row>
    <row r="605">
      <c r="B605" s="105"/>
    </row>
    <row r="606">
      <c r="B606" s="105"/>
    </row>
    <row r="607">
      <c r="B607" s="105"/>
    </row>
    <row r="608">
      <c r="B608" s="105"/>
    </row>
    <row r="609">
      <c r="B609" s="105"/>
    </row>
    <row r="610">
      <c r="B610" s="105"/>
    </row>
    <row r="611">
      <c r="B611" s="105"/>
    </row>
    <row r="612">
      <c r="B612" s="105"/>
    </row>
    <row r="613">
      <c r="B613" s="105"/>
    </row>
    <row r="614">
      <c r="B614" s="105"/>
    </row>
    <row r="615">
      <c r="B615" s="105"/>
    </row>
    <row r="616">
      <c r="B616" s="105"/>
    </row>
    <row r="617">
      <c r="B617" s="105"/>
    </row>
    <row r="618">
      <c r="B618" s="105"/>
    </row>
    <row r="619">
      <c r="B619" s="105"/>
    </row>
    <row r="620">
      <c r="B620" s="105"/>
    </row>
    <row r="621">
      <c r="B621" s="105"/>
    </row>
    <row r="622">
      <c r="B622" s="105"/>
    </row>
    <row r="623">
      <c r="B623" s="105"/>
    </row>
    <row r="624">
      <c r="B624" s="105"/>
    </row>
    <row r="625">
      <c r="B625" s="105"/>
    </row>
    <row r="626">
      <c r="B626" s="105"/>
    </row>
    <row r="627">
      <c r="B627" s="105"/>
    </row>
    <row r="628">
      <c r="B628" s="105"/>
    </row>
    <row r="629">
      <c r="B629" s="105"/>
    </row>
    <row r="630">
      <c r="B630" s="105"/>
    </row>
    <row r="631">
      <c r="B631" s="105"/>
    </row>
    <row r="632">
      <c r="B632" s="105"/>
    </row>
    <row r="633">
      <c r="B633" s="105"/>
    </row>
    <row r="634">
      <c r="B634" s="105"/>
    </row>
    <row r="635">
      <c r="B635" s="105"/>
    </row>
    <row r="636">
      <c r="B636" s="105"/>
    </row>
    <row r="637">
      <c r="B637" s="105"/>
    </row>
    <row r="638">
      <c r="B638" s="105"/>
    </row>
    <row r="639">
      <c r="B639" s="105"/>
    </row>
    <row r="640">
      <c r="B640" s="105"/>
    </row>
    <row r="641">
      <c r="B641" s="105"/>
    </row>
    <row r="642">
      <c r="B642" s="105"/>
    </row>
    <row r="643">
      <c r="B643" s="105"/>
    </row>
    <row r="644">
      <c r="B644" s="105"/>
    </row>
    <row r="645">
      <c r="B645" s="105"/>
    </row>
    <row r="646">
      <c r="B646" s="105"/>
    </row>
    <row r="647">
      <c r="B647" s="105"/>
    </row>
    <row r="648">
      <c r="B648" s="105"/>
    </row>
    <row r="649">
      <c r="B649" s="105"/>
    </row>
    <row r="650">
      <c r="B650" s="105"/>
    </row>
    <row r="651">
      <c r="B651" s="105"/>
    </row>
    <row r="652">
      <c r="B652" s="105"/>
    </row>
    <row r="653">
      <c r="B653" s="105"/>
    </row>
    <row r="654">
      <c r="B654" s="105"/>
    </row>
    <row r="655">
      <c r="B655" s="105"/>
    </row>
    <row r="656">
      <c r="B656" s="105"/>
    </row>
    <row r="657">
      <c r="B657" s="105"/>
    </row>
    <row r="658">
      <c r="B658" s="105"/>
    </row>
    <row r="659">
      <c r="B659" s="105"/>
    </row>
    <row r="660">
      <c r="B660" s="105"/>
    </row>
    <row r="661">
      <c r="B661" s="105"/>
    </row>
    <row r="662">
      <c r="B662" s="105"/>
    </row>
    <row r="663">
      <c r="B663" s="105"/>
    </row>
    <row r="664">
      <c r="B664" s="105"/>
    </row>
    <row r="665">
      <c r="B665" s="105"/>
    </row>
    <row r="666">
      <c r="B666" s="105"/>
    </row>
    <row r="667">
      <c r="B667" s="105"/>
    </row>
    <row r="668">
      <c r="B668" s="105"/>
    </row>
    <row r="669">
      <c r="B669" s="105"/>
    </row>
    <row r="670">
      <c r="B670" s="105"/>
    </row>
    <row r="671">
      <c r="B671" s="105"/>
    </row>
    <row r="672">
      <c r="B672" s="105"/>
    </row>
    <row r="673">
      <c r="B673" s="105"/>
    </row>
    <row r="674">
      <c r="B674" s="105"/>
    </row>
    <row r="675">
      <c r="B675" s="105"/>
    </row>
    <row r="676">
      <c r="B676" s="105"/>
    </row>
    <row r="677">
      <c r="B677" s="105"/>
    </row>
    <row r="678">
      <c r="B678" s="105"/>
    </row>
    <row r="679">
      <c r="B679" s="105"/>
    </row>
    <row r="680">
      <c r="B680" s="105"/>
    </row>
    <row r="681">
      <c r="B681" s="105"/>
    </row>
    <row r="682">
      <c r="B682" s="105"/>
    </row>
    <row r="683">
      <c r="B683" s="105"/>
    </row>
    <row r="684">
      <c r="B684" s="105"/>
    </row>
    <row r="685">
      <c r="B685" s="105"/>
    </row>
    <row r="686">
      <c r="B686" s="105"/>
    </row>
    <row r="687">
      <c r="B687" s="105"/>
    </row>
    <row r="688">
      <c r="B688" s="105"/>
    </row>
    <row r="689">
      <c r="B689" s="105"/>
    </row>
    <row r="690">
      <c r="B690" s="105"/>
    </row>
    <row r="691">
      <c r="B691" s="105"/>
    </row>
    <row r="692">
      <c r="B692" s="105"/>
    </row>
    <row r="693">
      <c r="B693" s="105"/>
    </row>
    <row r="694">
      <c r="B694" s="105"/>
    </row>
    <row r="695">
      <c r="B695" s="105"/>
    </row>
    <row r="696">
      <c r="B696" s="105"/>
    </row>
    <row r="697">
      <c r="B697" s="105"/>
    </row>
    <row r="698">
      <c r="B698" s="105"/>
    </row>
    <row r="699">
      <c r="B699" s="105"/>
    </row>
    <row r="700">
      <c r="B700" s="105"/>
    </row>
    <row r="701">
      <c r="B701" s="105"/>
    </row>
    <row r="702">
      <c r="B702" s="105"/>
    </row>
    <row r="703">
      <c r="B703" s="105"/>
    </row>
    <row r="704">
      <c r="B704" s="105"/>
    </row>
    <row r="705">
      <c r="B705" s="105"/>
    </row>
    <row r="706">
      <c r="B706" s="105"/>
    </row>
    <row r="707">
      <c r="B707" s="105"/>
    </row>
    <row r="708">
      <c r="B708" s="105"/>
    </row>
    <row r="709">
      <c r="B709" s="105"/>
    </row>
    <row r="710">
      <c r="B710" s="105"/>
    </row>
    <row r="711">
      <c r="B711" s="105"/>
    </row>
    <row r="712">
      <c r="B712" s="105"/>
    </row>
    <row r="713">
      <c r="B713" s="105"/>
    </row>
    <row r="714">
      <c r="B714" s="105"/>
    </row>
    <row r="715">
      <c r="B715" s="105"/>
    </row>
    <row r="716">
      <c r="B716" s="105"/>
    </row>
    <row r="717">
      <c r="B717" s="105"/>
    </row>
    <row r="718">
      <c r="B718" s="105"/>
    </row>
    <row r="719">
      <c r="B719" s="105"/>
    </row>
    <row r="720">
      <c r="B720" s="105"/>
    </row>
    <row r="721">
      <c r="B721" s="105"/>
    </row>
    <row r="722">
      <c r="B722" s="105"/>
    </row>
    <row r="723">
      <c r="B723" s="105"/>
    </row>
    <row r="724">
      <c r="B724" s="105"/>
    </row>
    <row r="725">
      <c r="B725" s="105"/>
    </row>
    <row r="726">
      <c r="B726" s="105"/>
    </row>
    <row r="727">
      <c r="B727" s="105"/>
    </row>
    <row r="728">
      <c r="B728" s="105"/>
    </row>
    <row r="729">
      <c r="B729" s="105"/>
    </row>
    <row r="730">
      <c r="B730" s="105"/>
    </row>
    <row r="731">
      <c r="B731" s="105"/>
    </row>
    <row r="732">
      <c r="B732" s="105"/>
    </row>
    <row r="733">
      <c r="B733" s="105"/>
    </row>
    <row r="734">
      <c r="B734" s="105"/>
    </row>
    <row r="735">
      <c r="B735" s="105"/>
    </row>
    <row r="736">
      <c r="B736" s="105"/>
    </row>
    <row r="737">
      <c r="B737" s="105"/>
    </row>
    <row r="738">
      <c r="B738" s="105"/>
    </row>
    <row r="739">
      <c r="B739" s="105"/>
    </row>
    <row r="740">
      <c r="B740" s="105"/>
    </row>
    <row r="741">
      <c r="B741" s="105"/>
    </row>
    <row r="742">
      <c r="B742" s="105"/>
    </row>
    <row r="743">
      <c r="B743" s="105"/>
    </row>
    <row r="744">
      <c r="B744" s="105"/>
    </row>
    <row r="745">
      <c r="B745" s="105"/>
    </row>
    <row r="746">
      <c r="B746" s="105"/>
    </row>
    <row r="747">
      <c r="B747" s="105"/>
    </row>
    <row r="748">
      <c r="B748" s="105"/>
    </row>
    <row r="749">
      <c r="B749" s="105"/>
    </row>
    <row r="750">
      <c r="B750" s="105"/>
    </row>
    <row r="751">
      <c r="B751" s="105"/>
    </row>
    <row r="752">
      <c r="B752" s="105"/>
    </row>
    <row r="753">
      <c r="B753" s="105"/>
    </row>
    <row r="754">
      <c r="B754" s="105"/>
    </row>
    <row r="755">
      <c r="B755" s="105"/>
    </row>
    <row r="756">
      <c r="B756" s="105"/>
    </row>
    <row r="757">
      <c r="B757" s="105"/>
    </row>
    <row r="758">
      <c r="B758" s="105"/>
    </row>
    <row r="759">
      <c r="B759" s="105"/>
    </row>
    <row r="760">
      <c r="B760" s="105"/>
    </row>
    <row r="761">
      <c r="B761" s="105"/>
    </row>
    <row r="762">
      <c r="B762" s="105"/>
    </row>
    <row r="763">
      <c r="B763" s="105"/>
    </row>
    <row r="764">
      <c r="B764" s="105"/>
    </row>
    <row r="765">
      <c r="B765" s="105"/>
    </row>
    <row r="766">
      <c r="B766" s="105"/>
    </row>
    <row r="767">
      <c r="B767" s="105"/>
    </row>
    <row r="768">
      <c r="B768" s="105"/>
    </row>
    <row r="769">
      <c r="B769" s="105"/>
    </row>
    <row r="770">
      <c r="B770" s="105"/>
    </row>
    <row r="771">
      <c r="B771" s="105"/>
    </row>
    <row r="772">
      <c r="B772" s="105"/>
    </row>
    <row r="773">
      <c r="B773" s="105"/>
    </row>
    <row r="774">
      <c r="B774" s="105"/>
    </row>
    <row r="775">
      <c r="B775" s="105"/>
    </row>
    <row r="776">
      <c r="B776" s="105"/>
    </row>
    <row r="777">
      <c r="B777" s="105"/>
    </row>
    <row r="778">
      <c r="B778" s="105"/>
    </row>
    <row r="779">
      <c r="B779" s="105"/>
    </row>
    <row r="780">
      <c r="B780" s="105"/>
    </row>
    <row r="781">
      <c r="B781" s="105"/>
    </row>
    <row r="782">
      <c r="B782" s="105"/>
    </row>
    <row r="783">
      <c r="B783" s="105"/>
    </row>
    <row r="784">
      <c r="B784" s="105"/>
    </row>
    <row r="785">
      <c r="B785" s="105"/>
    </row>
    <row r="786">
      <c r="B786" s="105"/>
    </row>
    <row r="787">
      <c r="B787" s="105"/>
    </row>
    <row r="788">
      <c r="B788" s="105"/>
    </row>
    <row r="789">
      <c r="B789" s="105"/>
    </row>
    <row r="790">
      <c r="B790" s="105"/>
    </row>
    <row r="791">
      <c r="B791" s="105"/>
    </row>
    <row r="792">
      <c r="B792" s="105"/>
    </row>
    <row r="793">
      <c r="B793" s="105"/>
    </row>
    <row r="794">
      <c r="B794" s="105"/>
    </row>
    <row r="795">
      <c r="B795" s="105"/>
    </row>
    <row r="796">
      <c r="B796" s="105"/>
    </row>
    <row r="797">
      <c r="B797" s="105"/>
    </row>
    <row r="798">
      <c r="B798" s="105"/>
    </row>
    <row r="799">
      <c r="B799" s="105"/>
    </row>
    <row r="800">
      <c r="B800" s="105"/>
    </row>
    <row r="801">
      <c r="B801" s="105"/>
    </row>
    <row r="802">
      <c r="B802" s="105"/>
    </row>
    <row r="803">
      <c r="B803" s="105"/>
    </row>
    <row r="804">
      <c r="B804" s="105"/>
    </row>
    <row r="805">
      <c r="B805" s="105"/>
    </row>
    <row r="806">
      <c r="B806" s="105"/>
    </row>
    <row r="807">
      <c r="B807" s="105"/>
    </row>
    <row r="808">
      <c r="B808" s="105"/>
    </row>
    <row r="809">
      <c r="B809" s="105"/>
    </row>
    <row r="810">
      <c r="B810" s="105"/>
    </row>
    <row r="811">
      <c r="B811" s="105"/>
    </row>
    <row r="812">
      <c r="B812" s="105"/>
    </row>
    <row r="813">
      <c r="B813" s="105"/>
    </row>
    <row r="814">
      <c r="B814" s="105"/>
    </row>
    <row r="815">
      <c r="B815" s="105"/>
    </row>
    <row r="816">
      <c r="B816" s="105"/>
    </row>
    <row r="817">
      <c r="B817" s="105"/>
    </row>
    <row r="818">
      <c r="B818" s="105"/>
    </row>
    <row r="819">
      <c r="B819" s="105"/>
    </row>
    <row r="820">
      <c r="B820" s="105"/>
    </row>
    <row r="821">
      <c r="B821" s="105"/>
    </row>
    <row r="822">
      <c r="B822" s="105"/>
    </row>
    <row r="823">
      <c r="B823" s="105"/>
    </row>
    <row r="824">
      <c r="B824" s="105"/>
    </row>
    <row r="825">
      <c r="B825" s="105"/>
    </row>
    <row r="826">
      <c r="B826" s="105"/>
    </row>
    <row r="827">
      <c r="B827" s="105"/>
    </row>
    <row r="828">
      <c r="B828" s="105"/>
    </row>
    <row r="829">
      <c r="B829" s="105"/>
    </row>
    <row r="830">
      <c r="B830" s="105"/>
    </row>
    <row r="831">
      <c r="B831" s="105"/>
    </row>
    <row r="832">
      <c r="B832" s="105"/>
    </row>
    <row r="833">
      <c r="B833" s="105"/>
    </row>
    <row r="834">
      <c r="B834" s="105"/>
    </row>
    <row r="835">
      <c r="B835" s="105"/>
    </row>
    <row r="836">
      <c r="B836" s="105"/>
    </row>
    <row r="837">
      <c r="B837" s="105"/>
    </row>
    <row r="838">
      <c r="B838" s="105"/>
    </row>
    <row r="839">
      <c r="B839" s="105"/>
    </row>
    <row r="840">
      <c r="B840" s="105"/>
    </row>
    <row r="841">
      <c r="B841" s="105"/>
    </row>
    <row r="842">
      <c r="B842" s="105"/>
    </row>
    <row r="843">
      <c r="B843" s="105"/>
    </row>
    <row r="844">
      <c r="B844" s="105"/>
    </row>
    <row r="845">
      <c r="B845" s="105"/>
    </row>
    <row r="846">
      <c r="B846" s="105"/>
    </row>
    <row r="847">
      <c r="B847" s="105"/>
    </row>
    <row r="848">
      <c r="B848" s="105"/>
    </row>
    <row r="849">
      <c r="B849" s="105"/>
    </row>
    <row r="850">
      <c r="B850" s="105"/>
    </row>
    <row r="851">
      <c r="B851" s="105"/>
    </row>
    <row r="852">
      <c r="B852" s="105"/>
    </row>
    <row r="853">
      <c r="B853" s="105"/>
    </row>
    <row r="854">
      <c r="B854" s="105"/>
    </row>
    <row r="855">
      <c r="B855" s="105"/>
    </row>
    <row r="856">
      <c r="B856" s="105"/>
    </row>
    <row r="857">
      <c r="B857" s="105"/>
    </row>
    <row r="858">
      <c r="B858" s="105"/>
    </row>
    <row r="859">
      <c r="B859" s="105"/>
    </row>
    <row r="860">
      <c r="B860" s="105"/>
    </row>
    <row r="861">
      <c r="B861" s="105"/>
    </row>
    <row r="862">
      <c r="B862" s="105"/>
    </row>
    <row r="863">
      <c r="B863" s="105"/>
    </row>
    <row r="864">
      <c r="B864" s="105"/>
    </row>
    <row r="865">
      <c r="B865" s="105"/>
    </row>
    <row r="866">
      <c r="B866" s="105"/>
    </row>
    <row r="867">
      <c r="B867" s="105"/>
    </row>
    <row r="868">
      <c r="B868" s="105"/>
    </row>
    <row r="869">
      <c r="B869" s="105"/>
    </row>
    <row r="870">
      <c r="B870" s="105"/>
    </row>
    <row r="871">
      <c r="B871" s="105"/>
    </row>
    <row r="872">
      <c r="B872" s="105"/>
    </row>
    <row r="873">
      <c r="B873" s="105"/>
    </row>
    <row r="874">
      <c r="B874" s="105"/>
    </row>
    <row r="875">
      <c r="B875" s="105"/>
    </row>
    <row r="876">
      <c r="B876" s="105"/>
    </row>
    <row r="877">
      <c r="B877" s="105"/>
    </row>
    <row r="878">
      <c r="B878" s="105"/>
    </row>
    <row r="879">
      <c r="B879" s="105"/>
    </row>
    <row r="880">
      <c r="B880" s="105"/>
    </row>
    <row r="881">
      <c r="B881" s="105"/>
    </row>
    <row r="882">
      <c r="B882" s="105"/>
    </row>
    <row r="883">
      <c r="B883" s="105"/>
    </row>
    <row r="884">
      <c r="B884" s="105"/>
    </row>
    <row r="885">
      <c r="B885" s="105"/>
    </row>
    <row r="886">
      <c r="B886" s="105"/>
    </row>
    <row r="887">
      <c r="B887" s="105"/>
    </row>
    <row r="888">
      <c r="B888" s="105"/>
    </row>
    <row r="889">
      <c r="B889" s="105"/>
    </row>
    <row r="890">
      <c r="B890" s="105"/>
    </row>
    <row r="891">
      <c r="B891" s="105"/>
    </row>
    <row r="892">
      <c r="B892" s="105"/>
    </row>
    <row r="893">
      <c r="B893" s="105"/>
    </row>
    <row r="894">
      <c r="B894" s="105"/>
    </row>
    <row r="895">
      <c r="B895" s="105"/>
    </row>
    <row r="896">
      <c r="B896" s="105"/>
    </row>
    <row r="897">
      <c r="B897" s="105"/>
    </row>
    <row r="898">
      <c r="B898" s="105"/>
    </row>
    <row r="899">
      <c r="B899" s="105"/>
    </row>
    <row r="900">
      <c r="B900" s="105"/>
    </row>
    <row r="901">
      <c r="B901" s="105"/>
    </row>
    <row r="902">
      <c r="B902" s="105"/>
    </row>
    <row r="903">
      <c r="B903" s="105"/>
    </row>
    <row r="904">
      <c r="B904" s="105"/>
    </row>
    <row r="905">
      <c r="B905" s="105"/>
    </row>
    <row r="906">
      <c r="B906" s="105"/>
    </row>
    <row r="907">
      <c r="B907" s="105"/>
    </row>
    <row r="908">
      <c r="B908" s="105"/>
    </row>
    <row r="909">
      <c r="B909" s="105"/>
    </row>
    <row r="910">
      <c r="B910" s="105"/>
    </row>
    <row r="911">
      <c r="B911" s="105"/>
    </row>
    <row r="912">
      <c r="B912" s="105"/>
    </row>
    <row r="913">
      <c r="B913" s="105"/>
    </row>
    <row r="914">
      <c r="B914" s="105"/>
    </row>
    <row r="915">
      <c r="B915" s="105"/>
    </row>
    <row r="916">
      <c r="B916" s="105"/>
    </row>
    <row r="917">
      <c r="B917" s="105"/>
    </row>
    <row r="918">
      <c r="B918" s="105"/>
    </row>
    <row r="919">
      <c r="B919" s="105"/>
    </row>
    <row r="920">
      <c r="B920" s="105"/>
    </row>
    <row r="921">
      <c r="B921" s="105"/>
    </row>
    <row r="922">
      <c r="B922" s="105"/>
    </row>
    <row r="923">
      <c r="B923" s="105"/>
    </row>
    <row r="924">
      <c r="B924" s="105"/>
    </row>
    <row r="925">
      <c r="B925" s="105"/>
    </row>
    <row r="926">
      <c r="B926" s="105"/>
    </row>
    <row r="927">
      <c r="B927" s="105"/>
    </row>
    <row r="928">
      <c r="B928" s="105"/>
    </row>
    <row r="929">
      <c r="B929" s="105"/>
    </row>
    <row r="930">
      <c r="B930" s="105"/>
    </row>
    <row r="931">
      <c r="B931" s="105"/>
    </row>
    <row r="932">
      <c r="B932" s="105"/>
    </row>
    <row r="933">
      <c r="B933" s="105"/>
    </row>
    <row r="934">
      <c r="B934" s="105"/>
    </row>
    <row r="935">
      <c r="B935" s="105"/>
    </row>
    <row r="936">
      <c r="B936" s="105"/>
    </row>
    <row r="937">
      <c r="B937" s="105"/>
    </row>
    <row r="938">
      <c r="B938" s="105"/>
    </row>
    <row r="939">
      <c r="B939" s="105"/>
    </row>
    <row r="940">
      <c r="B940" s="105"/>
    </row>
    <row r="941">
      <c r="B941" s="105"/>
    </row>
    <row r="942">
      <c r="B942" s="105"/>
    </row>
    <row r="943">
      <c r="B943" s="105"/>
    </row>
    <row r="944">
      <c r="B944" s="105"/>
    </row>
    <row r="945">
      <c r="B945" s="105"/>
    </row>
    <row r="946">
      <c r="B946" s="105"/>
    </row>
    <row r="947">
      <c r="B947" s="105"/>
    </row>
    <row r="948">
      <c r="B948" s="105"/>
    </row>
    <row r="949">
      <c r="B949" s="105"/>
    </row>
    <row r="950">
      <c r="B950" s="105"/>
    </row>
    <row r="951">
      <c r="B951" s="105"/>
    </row>
    <row r="952">
      <c r="B952" s="105"/>
    </row>
    <row r="953">
      <c r="B953" s="105"/>
    </row>
    <row r="954">
      <c r="B954" s="105"/>
    </row>
    <row r="955">
      <c r="B955" s="105"/>
    </row>
    <row r="956">
      <c r="B956" s="105"/>
    </row>
    <row r="957">
      <c r="B957" s="105"/>
    </row>
    <row r="958">
      <c r="B958" s="105"/>
    </row>
    <row r="959">
      <c r="B959" s="105"/>
    </row>
    <row r="960">
      <c r="B960" s="105"/>
    </row>
    <row r="961">
      <c r="B961" s="105"/>
    </row>
    <row r="962">
      <c r="B962" s="105"/>
    </row>
    <row r="963">
      <c r="B963" s="105"/>
    </row>
    <row r="964">
      <c r="B964" s="105"/>
    </row>
    <row r="965">
      <c r="B965" s="105"/>
    </row>
    <row r="966">
      <c r="B966" s="105"/>
    </row>
    <row r="967">
      <c r="B967" s="105"/>
    </row>
    <row r="968">
      <c r="B968" s="105"/>
    </row>
    <row r="969">
      <c r="B969" s="105"/>
    </row>
    <row r="970">
      <c r="B970" s="105"/>
    </row>
    <row r="971">
      <c r="B971" s="105"/>
    </row>
    <row r="972">
      <c r="B972" s="105"/>
    </row>
    <row r="973">
      <c r="B973" s="105"/>
    </row>
    <row r="974">
      <c r="B974" s="105"/>
    </row>
    <row r="975">
      <c r="B975" s="105"/>
    </row>
    <row r="976">
      <c r="B976" s="105"/>
    </row>
    <row r="977">
      <c r="B977" s="105"/>
    </row>
    <row r="978">
      <c r="B978" s="105"/>
    </row>
    <row r="979">
      <c r="B979" s="105"/>
    </row>
    <row r="980">
      <c r="B980" s="105"/>
    </row>
    <row r="981">
      <c r="B981" s="105"/>
    </row>
    <row r="982">
      <c r="B982" s="105"/>
    </row>
    <row r="983">
      <c r="B983" s="105"/>
    </row>
    <row r="984">
      <c r="B984" s="105"/>
    </row>
    <row r="985">
      <c r="B985" s="105"/>
    </row>
    <row r="986">
      <c r="B986" s="105"/>
    </row>
    <row r="987">
      <c r="B987" s="105"/>
    </row>
    <row r="988">
      <c r="B988" s="105"/>
    </row>
    <row r="989">
      <c r="B989" s="105"/>
    </row>
    <row r="990">
      <c r="B990" s="105"/>
    </row>
    <row r="991">
      <c r="B991" s="105"/>
    </row>
    <row r="992">
      <c r="B992" s="105"/>
    </row>
    <row r="993">
      <c r="B993" s="105"/>
    </row>
    <row r="994">
      <c r="B994" s="105"/>
    </row>
    <row r="995">
      <c r="B995" s="105"/>
    </row>
    <row r="996">
      <c r="B996" s="105"/>
    </row>
    <row r="997">
      <c r="B997" s="105"/>
    </row>
    <row r="998">
      <c r="B998" s="105"/>
    </row>
    <row r="999">
      <c r="B999" s="105"/>
    </row>
    <row r="1000">
      <c r="B1000" s="105"/>
    </row>
    <row r="1001">
      <c r="B1001" s="105"/>
    </row>
    <row r="1002">
      <c r="B1002" s="105"/>
    </row>
    <row r="1003">
      <c r="B1003" s="105"/>
    </row>
    <row r="1004">
      <c r="B1004" s="105"/>
    </row>
    <row r="1005">
      <c r="B1005" s="105"/>
    </row>
    <row r="1006">
      <c r="B1006" s="105"/>
    </row>
    <row r="1007">
      <c r="B1007" s="105"/>
    </row>
    <row r="1008">
      <c r="B1008" s="105"/>
    </row>
    <row r="1009">
      <c r="B1009" s="105"/>
    </row>
    <row r="1010">
      <c r="B1010" s="105"/>
    </row>
  </sheetData>
  <mergeCells count="1">
    <mergeCell ref="G1:J1"/>
  </mergeCell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19.86"/>
  </cols>
  <sheetData>
    <row r="1">
      <c r="A1" s="106" t="s">
        <v>187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</row>
    <row r="2">
      <c r="A2" s="107"/>
      <c r="B2" s="108" t="s">
        <v>0</v>
      </c>
      <c r="C2" s="109" t="s">
        <v>188</v>
      </c>
      <c r="D2" s="109" t="s">
        <v>189</v>
      </c>
      <c r="E2" s="109" t="s">
        <v>190</v>
      </c>
      <c r="F2" s="109" t="s">
        <v>191</v>
      </c>
      <c r="G2" s="109" t="s">
        <v>192</v>
      </c>
      <c r="H2" s="109" t="s">
        <v>193</v>
      </c>
      <c r="I2" s="109" t="s">
        <v>190</v>
      </c>
      <c r="J2" s="109" t="s">
        <v>123</v>
      </c>
      <c r="K2" s="109" t="s">
        <v>194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</row>
    <row r="3">
      <c r="A3" s="111" t="s">
        <v>126</v>
      </c>
      <c r="B3" s="112" t="s">
        <v>195</v>
      </c>
      <c r="C3" s="113">
        <v>13.0</v>
      </c>
      <c r="D3" s="113">
        <v>0.0</v>
      </c>
      <c r="E3" s="113">
        <v>13.0</v>
      </c>
      <c r="F3" s="113">
        <v>0.0</v>
      </c>
      <c r="G3" s="113">
        <v>0.0</v>
      </c>
      <c r="H3" s="113">
        <v>13.0</v>
      </c>
      <c r="I3" s="113">
        <v>13.0</v>
      </c>
      <c r="J3" s="113">
        <v>0.0</v>
      </c>
      <c r="K3" s="113">
        <v>13.0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</row>
    <row r="4">
      <c r="A4" s="114" t="s">
        <v>196</v>
      </c>
      <c r="B4" s="115" t="s">
        <v>197</v>
      </c>
      <c r="C4" s="61">
        <v>13.0</v>
      </c>
      <c r="D4" s="61">
        <v>0.0</v>
      </c>
      <c r="E4" s="61">
        <v>13.0</v>
      </c>
      <c r="F4" s="61">
        <v>0.0</v>
      </c>
      <c r="G4" s="61">
        <v>0.0</v>
      </c>
      <c r="H4" s="61">
        <v>-1.0</v>
      </c>
      <c r="I4" s="61">
        <v>12.0</v>
      </c>
      <c r="J4" s="61">
        <v>1.0</v>
      </c>
      <c r="K4" s="61">
        <v>12.0</v>
      </c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</row>
    <row r="5">
      <c r="A5" s="114" t="s">
        <v>198</v>
      </c>
      <c r="B5" s="115" t="s">
        <v>175</v>
      </c>
      <c r="C5" s="61">
        <v>12.0</v>
      </c>
      <c r="D5" s="61">
        <v>0.0</v>
      </c>
      <c r="E5" s="61">
        <v>12.0</v>
      </c>
      <c r="F5" s="61">
        <v>0.0</v>
      </c>
      <c r="G5" s="61">
        <v>0.0</v>
      </c>
      <c r="H5" s="61">
        <v>-7.0</v>
      </c>
      <c r="I5" s="61">
        <v>5.0</v>
      </c>
      <c r="J5" s="61">
        <v>0.0</v>
      </c>
      <c r="K5" s="61">
        <v>5.0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</row>
    <row r="6">
      <c r="A6" s="114" t="s">
        <v>199</v>
      </c>
      <c r="B6" s="115" t="s">
        <v>177</v>
      </c>
      <c r="C6" s="61">
        <v>5.0</v>
      </c>
      <c r="D6" s="61">
        <v>0.0</v>
      </c>
      <c r="E6" s="61">
        <v>5.0</v>
      </c>
      <c r="F6" s="61">
        <v>0.0</v>
      </c>
      <c r="G6" s="61">
        <v>0.0</v>
      </c>
      <c r="H6" s="61">
        <v>-2.0</v>
      </c>
      <c r="I6" s="61">
        <v>2.0</v>
      </c>
      <c r="J6" s="61">
        <v>0.0</v>
      </c>
      <c r="K6" s="61">
        <v>3.0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</row>
    <row r="7">
      <c r="A7" s="114" t="s">
        <v>200</v>
      </c>
      <c r="B7" s="115" t="s">
        <v>177</v>
      </c>
      <c r="C7" s="61">
        <v>3.0</v>
      </c>
      <c r="D7" s="61">
        <v>0.0</v>
      </c>
      <c r="E7" s="61">
        <v>3.0</v>
      </c>
      <c r="F7" s="61">
        <v>0.0</v>
      </c>
      <c r="G7" s="61">
        <v>0.0</v>
      </c>
      <c r="H7" s="61">
        <v>-3.0</v>
      </c>
      <c r="I7" s="61">
        <v>3.0</v>
      </c>
      <c r="J7" s="61">
        <v>0.0</v>
      </c>
      <c r="K7" s="61">
        <v>0.0</v>
      </c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</row>
    <row r="8">
      <c r="A8" s="111" t="s">
        <v>126</v>
      </c>
      <c r="B8" s="116">
        <v>46028.0</v>
      </c>
      <c r="C8" s="113">
        <v>0.0</v>
      </c>
      <c r="D8" s="113">
        <v>96.0</v>
      </c>
      <c r="E8" s="113">
        <v>96.0</v>
      </c>
      <c r="F8" s="113">
        <v>13.0</v>
      </c>
      <c r="G8" s="113">
        <v>50.0</v>
      </c>
      <c r="H8" s="113">
        <v>33.0</v>
      </c>
      <c r="I8" s="113">
        <v>96.0</v>
      </c>
      <c r="J8" s="113">
        <v>0.0</v>
      </c>
      <c r="K8" s="113">
        <v>96.0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</row>
    <row r="9">
      <c r="A9" s="117"/>
      <c r="B9" s="118">
        <v>46240.0</v>
      </c>
      <c r="C9" s="35">
        <v>96.0</v>
      </c>
      <c r="D9" s="35">
        <v>27.0</v>
      </c>
      <c r="E9" s="35">
        <v>123.0</v>
      </c>
      <c r="F9" s="35">
        <v>4.0</v>
      </c>
      <c r="G9" s="35">
        <v>23.0</v>
      </c>
      <c r="H9" s="35">
        <v>0.0</v>
      </c>
      <c r="I9" s="35">
        <v>27.0</v>
      </c>
      <c r="J9" s="35">
        <v>0.0</v>
      </c>
      <c r="K9" s="35">
        <v>123.0</v>
      </c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</row>
    <row r="10">
      <c r="A10" s="117"/>
      <c r="B10" s="119"/>
      <c r="C10" s="36"/>
      <c r="D10" s="36"/>
      <c r="E10" s="36"/>
      <c r="F10" s="36"/>
      <c r="G10" s="36"/>
      <c r="H10" s="36"/>
      <c r="I10" s="36"/>
      <c r="J10" s="36"/>
      <c r="K10" s="3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</row>
    <row r="11">
      <c r="A11" s="117"/>
      <c r="B11" s="119"/>
      <c r="C11" s="36"/>
      <c r="D11" s="36"/>
      <c r="E11" s="36"/>
      <c r="F11" s="36"/>
      <c r="G11" s="36"/>
      <c r="H11" s="36"/>
      <c r="I11" s="36"/>
      <c r="J11" s="36"/>
      <c r="K11" s="3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</row>
    <row r="12">
      <c r="A12" s="117"/>
      <c r="B12" s="119"/>
      <c r="C12" s="36"/>
      <c r="D12" s="36"/>
      <c r="E12" s="36"/>
      <c r="F12" s="36"/>
      <c r="G12" s="36"/>
      <c r="H12" s="36"/>
      <c r="I12" s="36"/>
      <c r="J12" s="36"/>
      <c r="K12" s="3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</row>
    <row r="13">
      <c r="A13" s="117"/>
      <c r="B13" s="119"/>
      <c r="C13" s="36"/>
      <c r="D13" s="36"/>
      <c r="E13" s="36"/>
      <c r="F13" s="36"/>
      <c r="G13" s="36"/>
      <c r="H13" s="36"/>
      <c r="I13" s="36"/>
      <c r="J13" s="36"/>
      <c r="K13" s="3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</row>
    <row r="14">
      <c r="A14" s="117"/>
      <c r="B14" s="119"/>
      <c r="C14" s="36"/>
      <c r="D14" s="36"/>
      <c r="E14" s="36"/>
      <c r="F14" s="36"/>
      <c r="G14" s="36"/>
      <c r="H14" s="36"/>
      <c r="I14" s="36"/>
      <c r="J14" s="36"/>
      <c r="K14" s="3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</row>
    <row r="15">
      <c r="A15" s="117"/>
      <c r="B15" s="119"/>
      <c r="C15" s="36"/>
      <c r="D15" s="36"/>
      <c r="E15" s="36"/>
      <c r="F15" s="36"/>
      <c r="G15" s="36"/>
      <c r="H15" s="36"/>
      <c r="I15" s="36"/>
      <c r="J15" s="36"/>
      <c r="K15" s="3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</row>
    <row r="16">
      <c r="A16" s="117"/>
      <c r="B16" s="119"/>
      <c r="C16" s="36"/>
      <c r="D16" s="36"/>
      <c r="E16" s="36"/>
      <c r="F16" s="36"/>
      <c r="G16" s="36"/>
      <c r="H16" s="36"/>
      <c r="I16" s="36"/>
      <c r="J16" s="36"/>
      <c r="K16" s="3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</row>
    <row r="17">
      <c r="A17" s="117"/>
      <c r="B17" s="119"/>
      <c r="C17" s="36"/>
      <c r="D17" s="36"/>
      <c r="E17" s="36"/>
      <c r="F17" s="36"/>
      <c r="G17" s="36"/>
      <c r="H17" s="36"/>
      <c r="I17" s="36"/>
      <c r="J17" s="36"/>
      <c r="K17" s="3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</row>
    <row r="18">
      <c r="A18" s="117"/>
      <c r="B18" s="119"/>
      <c r="C18" s="36"/>
      <c r="D18" s="36"/>
      <c r="E18" s="36"/>
      <c r="F18" s="36"/>
      <c r="G18" s="36"/>
      <c r="H18" s="36"/>
      <c r="I18" s="36"/>
      <c r="J18" s="36"/>
      <c r="K18" s="3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</row>
    <row r="19">
      <c r="A19" s="117"/>
      <c r="B19" s="119"/>
      <c r="C19" s="36"/>
      <c r="D19" s="36"/>
      <c r="E19" s="36"/>
      <c r="F19" s="36"/>
      <c r="G19" s="36"/>
      <c r="H19" s="36"/>
      <c r="I19" s="36"/>
      <c r="J19" s="36"/>
      <c r="K19" s="3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</row>
    <row r="20">
      <c r="A20" s="117"/>
      <c r="B20" s="119"/>
      <c r="C20" s="36"/>
      <c r="D20" s="36"/>
      <c r="E20" s="36"/>
      <c r="F20" s="36"/>
      <c r="G20" s="36"/>
      <c r="H20" s="36"/>
      <c r="I20" s="36"/>
      <c r="J20" s="36"/>
      <c r="K20" s="3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</row>
    <row r="21">
      <c r="A21" s="117"/>
      <c r="B21" s="119"/>
      <c r="C21" s="36"/>
      <c r="D21" s="36"/>
      <c r="E21" s="36"/>
      <c r="F21" s="36"/>
      <c r="G21" s="36"/>
      <c r="H21" s="36"/>
      <c r="I21" s="36"/>
      <c r="J21" s="36"/>
      <c r="K21" s="3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</row>
    <row r="22">
      <c r="A22" s="117"/>
      <c r="B22" s="119"/>
      <c r="C22" s="36"/>
      <c r="D22" s="36"/>
      <c r="E22" s="36"/>
      <c r="F22" s="36"/>
      <c r="G22" s="36"/>
      <c r="H22" s="36"/>
      <c r="I22" s="36"/>
      <c r="J22" s="36"/>
      <c r="K22" s="3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</row>
    <row r="23">
      <c r="A23" s="117"/>
      <c r="B23" s="119"/>
      <c r="C23" s="36"/>
      <c r="D23" s="36"/>
      <c r="E23" s="36"/>
      <c r="F23" s="36"/>
      <c r="G23" s="36"/>
      <c r="H23" s="36"/>
      <c r="I23" s="36"/>
      <c r="J23" s="36"/>
      <c r="K23" s="3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</row>
    <row r="24">
      <c r="A24" s="117"/>
      <c r="B24" s="119"/>
      <c r="C24" s="36"/>
      <c r="D24" s="36"/>
      <c r="E24" s="36"/>
      <c r="F24" s="36"/>
      <c r="G24" s="36"/>
      <c r="H24" s="36"/>
      <c r="I24" s="36"/>
      <c r="J24" s="36"/>
      <c r="K24" s="3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</row>
    <row r="25">
      <c r="A25" s="117"/>
      <c r="B25" s="119"/>
      <c r="C25" s="36"/>
      <c r="D25" s="36"/>
      <c r="E25" s="36"/>
      <c r="F25" s="36"/>
      <c r="G25" s="36"/>
      <c r="H25" s="36"/>
      <c r="I25" s="36"/>
      <c r="J25" s="36"/>
      <c r="K25" s="3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</row>
    <row r="26">
      <c r="A26" s="117"/>
      <c r="B26" s="119"/>
      <c r="C26" s="36"/>
      <c r="D26" s="36"/>
      <c r="E26" s="36"/>
      <c r="F26" s="36"/>
      <c r="G26" s="36"/>
      <c r="H26" s="36"/>
      <c r="I26" s="36"/>
      <c r="J26" s="36"/>
      <c r="K26" s="3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</row>
    <row r="27">
      <c r="A27" s="117"/>
      <c r="B27" s="119"/>
      <c r="C27" s="36"/>
      <c r="D27" s="36"/>
      <c r="E27" s="36"/>
      <c r="F27" s="36"/>
      <c r="G27" s="36"/>
      <c r="H27" s="36"/>
      <c r="I27" s="36"/>
      <c r="J27" s="36"/>
      <c r="K27" s="3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</row>
    <row r="28">
      <c r="A28" s="117"/>
      <c r="B28" s="119"/>
      <c r="C28" s="36"/>
      <c r="D28" s="36"/>
      <c r="E28" s="36"/>
      <c r="F28" s="36"/>
      <c r="G28" s="36"/>
      <c r="H28" s="36"/>
      <c r="I28" s="36"/>
      <c r="J28" s="36"/>
      <c r="K28" s="3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</row>
    <row r="29">
      <c r="A29" s="117"/>
      <c r="B29" s="119"/>
      <c r="C29" s="36"/>
      <c r="D29" s="36"/>
      <c r="E29" s="36"/>
      <c r="F29" s="36"/>
      <c r="G29" s="36"/>
      <c r="H29" s="36"/>
      <c r="I29" s="36"/>
      <c r="J29" s="36"/>
      <c r="K29" s="3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</row>
    <row r="30">
      <c r="A30" s="117"/>
      <c r="B30" s="119"/>
      <c r="C30" s="36"/>
      <c r="D30" s="36"/>
      <c r="E30" s="36"/>
      <c r="F30" s="36"/>
      <c r="G30" s="36"/>
      <c r="H30" s="36"/>
      <c r="I30" s="36"/>
      <c r="J30" s="36"/>
      <c r="K30" s="3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</row>
    <row r="31">
      <c r="A31" s="117"/>
      <c r="B31" s="119"/>
      <c r="C31" s="36"/>
      <c r="D31" s="36"/>
      <c r="E31" s="36"/>
      <c r="F31" s="36"/>
      <c r="G31" s="36"/>
      <c r="H31" s="36"/>
      <c r="I31" s="36"/>
      <c r="J31" s="36"/>
      <c r="K31" s="3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</row>
    <row r="32">
      <c r="A32" s="117"/>
      <c r="B32" s="117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</row>
    <row r="33">
      <c r="A33" s="117"/>
      <c r="B33" s="117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</row>
    <row r="34">
      <c r="A34" s="117"/>
      <c r="B34" s="117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</row>
    <row r="35">
      <c r="A35" s="117"/>
      <c r="B35" s="117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</row>
    <row r="36">
      <c r="A36" s="117"/>
      <c r="B36" s="117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</row>
    <row r="37">
      <c r="A37" s="117"/>
      <c r="B37" s="117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</row>
    <row r="38">
      <c r="A38" s="117"/>
      <c r="B38" s="117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</row>
    <row r="39">
      <c r="A39" s="117"/>
      <c r="B39" s="117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</row>
    <row r="40">
      <c r="A40" s="117"/>
      <c r="B40" s="117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</row>
    <row r="41">
      <c r="A41" s="117"/>
      <c r="B41" s="117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</row>
    <row r="42">
      <c r="A42" s="117"/>
      <c r="B42" s="117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</row>
    <row r="43">
      <c r="A43" s="117"/>
      <c r="B43" s="117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</row>
    <row r="44">
      <c r="A44" s="117"/>
      <c r="B44" s="117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</row>
    <row r="45">
      <c r="A45" s="117"/>
      <c r="B45" s="117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</row>
    <row r="46">
      <c r="A46" s="117"/>
      <c r="B46" s="117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</row>
    <row r="47">
      <c r="A47" s="117"/>
      <c r="B47" s="117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</row>
    <row r="48">
      <c r="A48" s="117"/>
      <c r="B48" s="117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</row>
    <row r="49">
      <c r="A49" s="117"/>
      <c r="B49" s="117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</row>
    <row r="50">
      <c r="A50" s="117"/>
      <c r="B50" s="117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</row>
    <row r="51">
      <c r="A51" s="117"/>
      <c r="B51" s="117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</row>
    <row r="52">
      <c r="A52" s="117"/>
      <c r="B52" s="117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</row>
    <row r="53">
      <c r="A53" s="117"/>
      <c r="B53" s="117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</row>
    <row r="54">
      <c r="A54" s="117"/>
      <c r="B54" s="117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</row>
    <row r="55">
      <c r="A55" s="117"/>
      <c r="B55" s="117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</row>
    <row r="56">
      <c r="A56" s="117"/>
      <c r="B56" s="117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</row>
    <row r="57">
      <c r="A57" s="117"/>
      <c r="B57" s="117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</row>
    <row r="58">
      <c r="A58" s="117"/>
      <c r="B58" s="117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</row>
    <row r="59">
      <c r="A59" s="117"/>
      <c r="B59" s="117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</row>
    <row r="60">
      <c r="A60" s="117"/>
      <c r="B60" s="117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</row>
    <row r="61">
      <c r="A61" s="117"/>
      <c r="B61" s="117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</row>
    <row r="62">
      <c r="A62" s="117"/>
      <c r="B62" s="117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</row>
    <row r="63">
      <c r="A63" s="117"/>
      <c r="B63" s="117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</row>
    <row r="64">
      <c r="A64" s="117"/>
      <c r="B64" s="117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</row>
    <row r="65">
      <c r="A65" s="117"/>
      <c r="B65" s="117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</row>
    <row r="66">
      <c r="A66" s="117"/>
      <c r="B66" s="117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</row>
    <row r="67">
      <c r="A67" s="117"/>
      <c r="B67" s="117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</row>
    <row r="68">
      <c r="A68" s="117"/>
      <c r="B68" s="117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</row>
    <row r="69">
      <c r="A69" s="117"/>
      <c r="B69" s="117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</row>
    <row r="70">
      <c r="A70" s="117"/>
      <c r="B70" s="117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</row>
    <row r="71">
      <c r="A71" s="117"/>
      <c r="B71" s="117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</row>
    <row r="72">
      <c r="A72" s="117"/>
      <c r="B72" s="117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</row>
    <row r="73">
      <c r="A73" s="117"/>
      <c r="B73" s="117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</row>
    <row r="74">
      <c r="A74" s="117"/>
      <c r="B74" s="117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</row>
    <row r="75">
      <c r="A75" s="117"/>
      <c r="B75" s="117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</row>
    <row r="76">
      <c r="A76" s="117"/>
      <c r="B76" s="117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</row>
    <row r="77">
      <c r="A77" s="117"/>
      <c r="B77" s="117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</row>
    <row r="78">
      <c r="A78" s="117"/>
      <c r="B78" s="117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</row>
    <row r="79">
      <c r="A79" s="117"/>
      <c r="B79" s="117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</row>
    <row r="80">
      <c r="A80" s="117"/>
      <c r="B80" s="117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</row>
    <row r="81">
      <c r="A81" s="117"/>
      <c r="B81" s="117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</row>
    <row r="82">
      <c r="A82" s="117"/>
      <c r="B82" s="117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</row>
    <row r="83">
      <c r="A83" s="117"/>
      <c r="B83" s="117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</row>
    <row r="84">
      <c r="A84" s="117"/>
      <c r="B84" s="117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</row>
    <row r="85">
      <c r="A85" s="117"/>
      <c r="B85" s="117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</row>
    <row r="86">
      <c r="A86" s="117"/>
      <c r="B86" s="117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</row>
    <row r="87">
      <c r="A87" s="117"/>
      <c r="B87" s="117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</row>
    <row r="88">
      <c r="A88" s="117"/>
      <c r="B88" s="117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</row>
    <row r="89">
      <c r="A89" s="117"/>
      <c r="B89" s="117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</row>
    <row r="90">
      <c r="A90" s="117"/>
      <c r="B90" s="117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</row>
    <row r="91">
      <c r="A91" s="117"/>
      <c r="B91" s="117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</row>
    <row r="92">
      <c r="A92" s="117"/>
      <c r="B92" s="117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</row>
    <row r="93">
      <c r="A93" s="117"/>
      <c r="B93" s="117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</row>
    <row r="94">
      <c r="A94" s="117"/>
      <c r="B94" s="117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</row>
    <row r="95">
      <c r="A95" s="117"/>
      <c r="B95" s="117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</row>
    <row r="96">
      <c r="A96" s="117"/>
      <c r="B96" s="117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</row>
    <row r="97">
      <c r="A97" s="117"/>
      <c r="B97" s="117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</row>
    <row r="98">
      <c r="A98" s="117"/>
      <c r="B98" s="117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</row>
    <row r="99">
      <c r="A99" s="117"/>
      <c r="B99" s="117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</row>
    <row r="100">
      <c r="A100" s="117"/>
      <c r="B100" s="117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</row>
    <row r="101">
      <c r="A101" s="117"/>
      <c r="B101" s="117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</row>
    <row r="102">
      <c r="A102" s="117"/>
      <c r="B102" s="117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</row>
    <row r="103">
      <c r="A103" s="117"/>
      <c r="B103" s="117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</row>
    <row r="104">
      <c r="A104" s="117"/>
      <c r="B104" s="117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</row>
    <row r="105">
      <c r="A105" s="117"/>
      <c r="B105" s="117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</row>
    <row r="106">
      <c r="A106" s="117"/>
      <c r="B106" s="117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</row>
    <row r="107">
      <c r="A107" s="117"/>
      <c r="B107" s="117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</row>
    <row r="108">
      <c r="A108" s="117"/>
      <c r="B108" s="117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</row>
    <row r="109">
      <c r="A109" s="117"/>
      <c r="B109" s="117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</row>
    <row r="110">
      <c r="A110" s="117"/>
      <c r="B110" s="117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</row>
    <row r="111">
      <c r="A111" s="117"/>
      <c r="B111" s="117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</row>
    <row r="112">
      <c r="A112" s="117"/>
      <c r="B112" s="117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</row>
    <row r="113">
      <c r="A113" s="117"/>
      <c r="B113" s="117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</row>
    <row r="114">
      <c r="A114" s="117"/>
      <c r="B114" s="117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</row>
    <row r="115">
      <c r="A115" s="117"/>
      <c r="B115" s="117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</row>
    <row r="116">
      <c r="A116" s="117"/>
      <c r="B116" s="117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</row>
    <row r="117">
      <c r="A117" s="117"/>
      <c r="B117" s="117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</row>
    <row r="118">
      <c r="A118" s="117"/>
      <c r="B118" s="117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</row>
    <row r="119">
      <c r="A119" s="117"/>
      <c r="B119" s="117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</row>
    <row r="120">
      <c r="A120" s="117"/>
      <c r="B120" s="117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</row>
    <row r="121">
      <c r="A121" s="117"/>
      <c r="B121" s="117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</row>
    <row r="122">
      <c r="A122" s="117"/>
      <c r="B122" s="117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</row>
    <row r="123">
      <c r="A123" s="117"/>
      <c r="B123" s="117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</row>
    <row r="124">
      <c r="A124" s="117"/>
      <c r="B124" s="117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</row>
    <row r="125">
      <c r="A125" s="117"/>
      <c r="B125" s="117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</row>
    <row r="126">
      <c r="A126" s="117"/>
      <c r="B126" s="117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</row>
    <row r="127">
      <c r="A127" s="117"/>
      <c r="B127" s="117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</row>
    <row r="128">
      <c r="A128" s="117"/>
      <c r="B128" s="117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</row>
    <row r="129">
      <c r="A129" s="117"/>
      <c r="B129" s="117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</row>
    <row r="130">
      <c r="A130" s="117"/>
      <c r="B130" s="117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</row>
    <row r="131">
      <c r="A131" s="117"/>
      <c r="B131" s="117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</row>
    <row r="132">
      <c r="A132" s="117"/>
      <c r="B132" s="117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</row>
    <row r="133">
      <c r="A133" s="117"/>
      <c r="B133" s="117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</row>
    <row r="134">
      <c r="A134" s="117"/>
      <c r="B134" s="117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</row>
    <row r="135">
      <c r="A135" s="117"/>
      <c r="B135" s="117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</row>
    <row r="136">
      <c r="A136" s="117"/>
      <c r="B136" s="117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</row>
    <row r="137">
      <c r="A137" s="117"/>
      <c r="B137" s="117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</row>
    <row r="138">
      <c r="A138" s="117"/>
      <c r="B138" s="117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</row>
    <row r="139">
      <c r="A139" s="117"/>
      <c r="B139" s="117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</row>
    <row r="140">
      <c r="A140" s="117"/>
      <c r="B140" s="117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</row>
    <row r="141">
      <c r="A141" s="117"/>
      <c r="B141" s="117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</row>
    <row r="142">
      <c r="A142" s="117"/>
      <c r="B142" s="117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</row>
    <row r="143">
      <c r="A143" s="117"/>
      <c r="B143" s="117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</row>
    <row r="144">
      <c r="A144" s="117"/>
      <c r="B144" s="117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</row>
    <row r="145">
      <c r="A145" s="117"/>
      <c r="B145" s="117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</row>
    <row r="146">
      <c r="A146" s="117"/>
      <c r="B146" s="117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</row>
    <row r="147">
      <c r="A147" s="117"/>
      <c r="B147" s="117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</row>
    <row r="148">
      <c r="A148" s="117"/>
      <c r="B148" s="117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</row>
    <row r="149">
      <c r="A149" s="117"/>
      <c r="B149" s="117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</row>
    <row r="150">
      <c r="A150" s="117"/>
      <c r="B150" s="117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</row>
    <row r="151">
      <c r="A151" s="117"/>
      <c r="B151" s="117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</row>
    <row r="152">
      <c r="A152" s="117"/>
      <c r="B152" s="117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</row>
    <row r="153">
      <c r="A153" s="117"/>
      <c r="B153" s="117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</row>
    <row r="154">
      <c r="A154" s="117"/>
      <c r="B154" s="117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</row>
    <row r="155">
      <c r="A155" s="117"/>
      <c r="B155" s="117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</row>
    <row r="156">
      <c r="A156" s="117"/>
      <c r="B156" s="117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</row>
    <row r="157">
      <c r="A157" s="117"/>
      <c r="B157" s="117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</row>
    <row r="158">
      <c r="A158" s="117"/>
      <c r="B158" s="117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</row>
    <row r="159">
      <c r="A159" s="117"/>
      <c r="B159" s="117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</row>
    <row r="160">
      <c r="A160" s="117"/>
      <c r="B160" s="117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</row>
    <row r="161">
      <c r="A161" s="117"/>
      <c r="B161" s="117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</row>
    <row r="162">
      <c r="A162" s="117"/>
      <c r="B162" s="117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</row>
    <row r="163">
      <c r="A163" s="117"/>
      <c r="B163" s="117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</row>
    <row r="164">
      <c r="A164" s="117"/>
      <c r="B164" s="117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</row>
    <row r="165">
      <c r="A165" s="117"/>
      <c r="B165" s="117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</row>
    <row r="166">
      <c r="A166" s="117"/>
      <c r="B166" s="117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</row>
    <row r="167">
      <c r="A167" s="117"/>
      <c r="B167" s="117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</row>
    <row r="168">
      <c r="A168" s="117"/>
      <c r="B168" s="117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</row>
    <row r="169">
      <c r="A169" s="117"/>
      <c r="B169" s="117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</row>
    <row r="170">
      <c r="A170" s="117"/>
      <c r="B170" s="117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</row>
    <row r="171">
      <c r="A171" s="117"/>
      <c r="B171" s="117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</row>
    <row r="172">
      <c r="A172" s="117"/>
      <c r="B172" s="117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</row>
    <row r="173">
      <c r="A173" s="117"/>
      <c r="B173" s="117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</row>
    <row r="174">
      <c r="A174" s="117"/>
      <c r="B174" s="117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</row>
    <row r="175">
      <c r="A175" s="117"/>
      <c r="B175" s="117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</row>
    <row r="176">
      <c r="A176" s="117"/>
      <c r="B176" s="117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</row>
    <row r="177">
      <c r="A177" s="117"/>
      <c r="B177" s="117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</row>
    <row r="178">
      <c r="A178" s="117"/>
      <c r="B178" s="117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</row>
    <row r="179">
      <c r="A179" s="117"/>
      <c r="B179" s="117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</row>
    <row r="180">
      <c r="A180" s="117"/>
      <c r="B180" s="117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</row>
    <row r="181">
      <c r="A181" s="117"/>
      <c r="B181" s="117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</row>
    <row r="182">
      <c r="A182" s="117"/>
      <c r="B182" s="117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</row>
    <row r="183">
      <c r="A183" s="117"/>
      <c r="B183" s="117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</row>
    <row r="184">
      <c r="A184" s="117"/>
      <c r="B184" s="117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</row>
    <row r="185">
      <c r="A185" s="117"/>
      <c r="B185" s="117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</row>
    <row r="186">
      <c r="A186" s="117"/>
      <c r="B186" s="117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</row>
    <row r="187">
      <c r="A187" s="117"/>
      <c r="B187" s="117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</row>
    <row r="188">
      <c r="A188" s="117"/>
      <c r="B188" s="117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</row>
    <row r="189">
      <c r="A189" s="117"/>
      <c r="B189" s="117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</row>
    <row r="190">
      <c r="A190" s="117"/>
      <c r="B190" s="117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</row>
    <row r="191">
      <c r="A191" s="117"/>
      <c r="B191" s="117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</row>
    <row r="192">
      <c r="A192" s="117"/>
      <c r="B192" s="117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</row>
    <row r="193">
      <c r="A193" s="117"/>
      <c r="B193" s="117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</row>
    <row r="194">
      <c r="A194" s="117"/>
      <c r="B194" s="117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</row>
    <row r="195">
      <c r="A195" s="117"/>
      <c r="B195" s="117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</row>
    <row r="196">
      <c r="A196" s="117"/>
      <c r="B196" s="117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</row>
    <row r="197">
      <c r="A197" s="117"/>
      <c r="B197" s="117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</row>
    <row r="198">
      <c r="A198" s="117"/>
      <c r="B198" s="117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</row>
    <row r="199">
      <c r="A199" s="117"/>
      <c r="B199" s="117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</row>
    <row r="200">
      <c r="A200" s="117"/>
      <c r="B200" s="117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</row>
    <row r="201">
      <c r="A201" s="117"/>
      <c r="B201" s="117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</row>
    <row r="202">
      <c r="A202" s="117"/>
      <c r="B202" s="117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</row>
    <row r="203">
      <c r="A203" s="117"/>
      <c r="B203" s="117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</row>
    <row r="204">
      <c r="A204" s="117"/>
      <c r="B204" s="117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</row>
    <row r="205">
      <c r="A205" s="117"/>
      <c r="B205" s="117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</row>
    <row r="206">
      <c r="A206" s="117"/>
      <c r="B206" s="117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</row>
    <row r="207">
      <c r="A207" s="117"/>
      <c r="B207" s="117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</row>
    <row r="208">
      <c r="A208" s="117"/>
      <c r="B208" s="117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</row>
    <row r="209">
      <c r="A209" s="117"/>
      <c r="B209" s="117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</row>
    <row r="210">
      <c r="A210" s="117"/>
      <c r="B210" s="117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</row>
    <row r="211">
      <c r="A211" s="117"/>
      <c r="B211" s="117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</row>
    <row r="212">
      <c r="A212" s="117"/>
      <c r="B212" s="117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</row>
    <row r="213">
      <c r="A213" s="117"/>
      <c r="B213" s="117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</row>
    <row r="214">
      <c r="A214" s="117"/>
      <c r="B214" s="117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</row>
    <row r="215">
      <c r="A215" s="117"/>
      <c r="B215" s="117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</row>
    <row r="216">
      <c r="A216" s="117"/>
      <c r="B216" s="117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</row>
    <row r="217">
      <c r="A217" s="117"/>
      <c r="B217" s="117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</row>
    <row r="218">
      <c r="A218" s="117"/>
      <c r="B218" s="117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</row>
    <row r="219">
      <c r="A219" s="117"/>
      <c r="B219" s="117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</row>
    <row r="220">
      <c r="A220" s="117"/>
      <c r="B220" s="117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</row>
    <row r="221">
      <c r="A221" s="117"/>
      <c r="B221" s="117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</row>
    <row r="222">
      <c r="A222" s="117"/>
      <c r="B222" s="117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</row>
    <row r="223">
      <c r="A223" s="117"/>
      <c r="B223" s="117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</row>
    <row r="224">
      <c r="A224" s="117"/>
      <c r="B224" s="117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</row>
    <row r="225">
      <c r="A225" s="117"/>
      <c r="B225" s="117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</row>
    <row r="226">
      <c r="A226" s="117"/>
      <c r="B226" s="117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</row>
    <row r="227">
      <c r="A227" s="117"/>
      <c r="B227" s="117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</row>
    <row r="228">
      <c r="A228" s="117"/>
      <c r="B228" s="117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</row>
    <row r="229">
      <c r="A229" s="117"/>
      <c r="B229" s="117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</row>
    <row r="230">
      <c r="A230" s="117"/>
      <c r="B230" s="117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</row>
    <row r="231">
      <c r="A231" s="117"/>
      <c r="B231" s="117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</row>
    <row r="232">
      <c r="A232" s="117"/>
      <c r="B232" s="117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</row>
    <row r="233">
      <c r="A233" s="117"/>
      <c r="B233" s="117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</row>
    <row r="234">
      <c r="A234" s="117"/>
      <c r="B234" s="117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</row>
    <row r="235">
      <c r="A235" s="117"/>
      <c r="B235" s="117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</row>
    <row r="236">
      <c r="A236" s="117"/>
      <c r="B236" s="117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</row>
    <row r="237">
      <c r="A237" s="117"/>
      <c r="B237" s="117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</row>
    <row r="238">
      <c r="A238" s="117"/>
      <c r="B238" s="117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</row>
    <row r="239">
      <c r="A239" s="117"/>
      <c r="B239" s="117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</row>
    <row r="240">
      <c r="A240" s="117"/>
      <c r="B240" s="117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</row>
    <row r="241">
      <c r="A241" s="117"/>
      <c r="B241" s="117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</row>
    <row r="242">
      <c r="A242" s="117"/>
      <c r="B242" s="117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</row>
    <row r="243">
      <c r="A243" s="117"/>
      <c r="B243" s="117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</row>
    <row r="244">
      <c r="A244" s="117"/>
      <c r="B244" s="117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</row>
    <row r="245">
      <c r="A245" s="117"/>
      <c r="B245" s="117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</row>
    <row r="246">
      <c r="A246" s="117"/>
      <c r="B246" s="117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</row>
    <row r="247">
      <c r="A247" s="117"/>
      <c r="B247" s="117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</row>
    <row r="248">
      <c r="A248" s="117"/>
      <c r="B248" s="117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</row>
    <row r="249">
      <c r="A249" s="117"/>
      <c r="B249" s="117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</row>
    <row r="250">
      <c r="A250" s="117"/>
      <c r="B250" s="117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</row>
    <row r="251">
      <c r="A251" s="117"/>
      <c r="B251" s="117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</row>
    <row r="252">
      <c r="A252" s="117"/>
      <c r="B252" s="117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</row>
    <row r="253">
      <c r="A253" s="117"/>
      <c r="B253" s="117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</row>
    <row r="254">
      <c r="A254" s="117"/>
      <c r="B254" s="117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</row>
    <row r="255">
      <c r="A255" s="117"/>
      <c r="B255" s="117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</row>
    <row r="256">
      <c r="A256" s="117"/>
      <c r="B256" s="117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</row>
    <row r="257">
      <c r="A257" s="117"/>
      <c r="B257" s="117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</row>
    <row r="258">
      <c r="A258" s="117"/>
      <c r="B258" s="117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</row>
    <row r="259">
      <c r="A259" s="117"/>
      <c r="B259" s="117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</row>
    <row r="260">
      <c r="A260" s="117"/>
      <c r="B260" s="117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</row>
    <row r="261">
      <c r="A261" s="117"/>
      <c r="B261" s="117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</row>
    <row r="262">
      <c r="A262" s="117"/>
      <c r="B262" s="117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</row>
    <row r="263">
      <c r="A263" s="117"/>
      <c r="B263" s="117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</row>
    <row r="264">
      <c r="A264" s="117"/>
      <c r="B264" s="117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</row>
    <row r="265">
      <c r="A265" s="117"/>
      <c r="B265" s="117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</row>
    <row r="266">
      <c r="A266" s="117"/>
      <c r="B266" s="117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</row>
    <row r="267">
      <c r="A267" s="117"/>
      <c r="B267" s="117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</row>
    <row r="268">
      <c r="A268" s="117"/>
      <c r="B268" s="117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</row>
    <row r="269">
      <c r="A269" s="117"/>
      <c r="B269" s="117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</row>
    <row r="270">
      <c r="A270" s="117"/>
      <c r="B270" s="117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</row>
    <row r="271">
      <c r="A271" s="117"/>
      <c r="B271" s="117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</row>
    <row r="272">
      <c r="A272" s="117"/>
      <c r="B272" s="117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</row>
    <row r="273">
      <c r="A273" s="117"/>
      <c r="B273" s="117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</row>
    <row r="274">
      <c r="A274" s="117"/>
      <c r="B274" s="117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</row>
    <row r="275">
      <c r="A275" s="117"/>
      <c r="B275" s="117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</row>
    <row r="276">
      <c r="A276" s="117"/>
      <c r="B276" s="117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</row>
    <row r="277">
      <c r="A277" s="117"/>
      <c r="B277" s="117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</row>
    <row r="278">
      <c r="A278" s="117"/>
      <c r="B278" s="117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</row>
    <row r="279">
      <c r="A279" s="117"/>
      <c r="B279" s="117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</row>
    <row r="280">
      <c r="A280" s="117"/>
      <c r="B280" s="117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</row>
    <row r="281">
      <c r="A281" s="117"/>
      <c r="B281" s="117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</row>
    <row r="282">
      <c r="A282" s="117"/>
      <c r="B282" s="117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</row>
    <row r="283">
      <c r="A283" s="117"/>
      <c r="B283" s="117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</row>
    <row r="284">
      <c r="A284" s="117"/>
      <c r="B284" s="117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</row>
    <row r="285">
      <c r="A285" s="117"/>
      <c r="B285" s="117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</row>
    <row r="286">
      <c r="A286" s="117"/>
      <c r="B286" s="117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</row>
    <row r="287">
      <c r="A287" s="117"/>
      <c r="B287" s="117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</row>
    <row r="288">
      <c r="A288" s="117"/>
      <c r="B288" s="117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</row>
    <row r="289">
      <c r="A289" s="117"/>
      <c r="B289" s="117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</row>
    <row r="290">
      <c r="A290" s="117"/>
      <c r="B290" s="117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</row>
    <row r="291">
      <c r="A291" s="117"/>
      <c r="B291" s="117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</row>
    <row r="292">
      <c r="A292" s="117"/>
      <c r="B292" s="117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</row>
    <row r="293">
      <c r="A293" s="117"/>
      <c r="B293" s="117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</row>
    <row r="294">
      <c r="A294" s="117"/>
      <c r="B294" s="117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</row>
    <row r="295">
      <c r="A295" s="117"/>
      <c r="B295" s="117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</row>
    <row r="296">
      <c r="A296" s="117"/>
      <c r="B296" s="117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</row>
    <row r="297">
      <c r="A297" s="117"/>
      <c r="B297" s="117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</row>
    <row r="298">
      <c r="A298" s="117"/>
      <c r="B298" s="117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</row>
    <row r="299">
      <c r="A299" s="117"/>
      <c r="B299" s="117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</row>
    <row r="300">
      <c r="A300" s="117"/>
      <c r="B300" s="117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</row>
    <row r="301">
      <c r="A301" s="117"/>
      <c r="B301" s="117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</row>
    <row r="302">
      <c r="A302" s="117"/>
      <c r="B302" s="117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</row>
    <row r="303">
      <c r="A303" s="117"/>
      <c r="B303" s="117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</row>
    <row r="304">
      <c r="A304" s="117"/>
      <c r="B304" s="117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</row>
    <row r="305">
      <c r="A305" s="117"/>
      <c r="B305" s="117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</row>
    <row r="306">
      <c r="A306" s="117"/>
      <c r="B306" s="117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</row>
    <row r="307">
      <c r="A307" s="117"/>
      <c r="B307" s="117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</row>
    <row r="308">
      <c r="A308" s="117"/>
      <c r="B308" s="117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</row>
    <row r="309">
      <c r="A309" s="117"/>
      <c r="B309" s="117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</row>
    <row r="310">
      <c r="A310" s="117"/>
      <c r="B310" s="117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</row>
    <row r="311">
      <c r="A311" s="117"/>
      <c r="B311" s="117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</row>
    <row r="312">
      <c r="A312" s="117"/>
      <c r="B312" s="117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</row>
    <row r="313">
      <c r="A313" s="117"/>
      <c r="B313" s="117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</row>
    <row r="314">
      <c r="A314" s="117"/>
      <c r="B314" s="117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</row>
    <row r="315">
      <c r="A315" s="117"/>
      <c r="B315" s="117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</row>
    <row r="316">
      <c r="A316" s="117"/>
      <c r="B316" s="117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</row>
    <row r="317">
      <c r="A317" s="117"/>
      <c r="B317" s="117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</row>
    <row r="318">
      <c r="A318" s="117"/>
      <c r="B318" s="117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</row>
    <row r="319">
      <c r="A319" s="117"/>
      <c r="B319" s="117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</row>
    <row r="320">
      <c r="A320" s="117"/>
      <c r="B320" s="117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</row>
    <row r="321">
      <c r="A321" s="117"/>
      <c r="B321" s="117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</row>
    <row r="322">
      <c r="A322" s="117"/>
      <c r="B322" s="117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</row>
    <row r="323">
      <c r="A323" s="117"/>
      <c r="B323" s="117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</row>
    <row r="324">
      <c r="A324" s="117"/>
      <c r="B324" s="117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</row>
    <row r="325">
      <c r="A325" s="117"/>
      <c r="B325" s="117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</row>
    <row r="326">
      <c r="A326" s="117"/>
      <c r="B326" s="117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</row>
    <row r="327">
      <c r="A327" s="117"/>
      <c r="B327" s="117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</row>
    <row r="328">
      <c r="A328" s="117"/>
      <c r="B328" s="117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</row>
    <row r="329">
      <c r="A329" s="117"/>
      <c r="B329" s="117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</row>
    <row r="330">
      <c r="A330" s="117"/>
      <c r="B330" s="117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</row>
    <row r="331">
      <c r="A331" s="117"/>
      <c r="B331" s="117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</row>
    <row r="332">
      <c r="A332" s="117"/>
      <c r="B332" s="117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</row>
    <row r="333">
      <c r="A333" s="117"/>
      <c r="B333" s="117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</row>
    <row r="334">
      <c r="A334" s="117"/>
      <c r="B334" s="117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</row>
    <row r="335">
      <c r="A335" s="117"/>
      <c r="B335" s="117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</row>
    <row r="336">
      <c r="A336" s="117"/>
      <c r="B336" s="117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</row>
    <row r="337">
      <c r="A337" s="117"/>
      <c r="B337" s="117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</row>
    <row r="338">
      <c r="A338" s="117"/>
      <c r="B338" s="117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</row>
    <row r="339">
      <c r="A339" s="117"/>
      <c r="B339" s="117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</row>
    <row r="340">
      <c r="A340" s="117"/>
      <c r="B340" s="117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</row>
    <row r="341">
      <c r="A341" s="117"/>
      <c r="B341" s="117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</row>
    <row r="342">
      <c r="A342" s="117"/>
      <c r="B342" s="117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</row>
    <row r="343">
      <c r="A343" s="117"/>
      <c r="B343" s="117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</row>
    <row r="344">
      <c r="A344" s="117"/>
      <c r="B344" s="117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</row>
    <row r="345">
      <c r="A345" s="117"/>
      <c r="B345" s="117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</row>
    <row r="346">
      <c r="A346" s="117"/>
      <c r="B346" s="117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</row>
    <row r="347">
      <c r="A347" s="117"/>
      <c r="B347" s="117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</row>
    <row r="348">
      <c r="A348" s="117"/>
      <c r="B348" s="117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</row>
    <row r="349">
      <c r="A349" s="117"/>
      <c r="B349" s="117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</row>
    <row r="350">
      <c r="A350" s="117"/>
      <c r="B350" s="117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</row>
    <row r="351">
      <c r="A351" s="117"/>
      <c r="B351" s="117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</row>
    <row r="352">
      <c r="A352" s="117"/>
      <c r="B352" s="117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</row>
    <row r="353">
      <c r="A353" s="117"/>
      <c r="B353" s="117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</row>
    <row r="354">
      <c r="A354" s="117"/>
      <c r="B354" s="117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</row>
    <row r="355">
      <c r="A355" s="117"/>
      <c r="B355" s="117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</row>
    <row r="356">
      <c r="A356" s="117"/>
      <c r="B356" s="117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</row>
    <row r="357">
      <c r="A357" s="117"/>
      <c r="B357" s="117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</row>
    <row r="358">
      <c r="A358" s="117"/>
      <c r="B358" s="117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</row>
    <row r="359">
      <c r="A359" s="117"/>
      <c r="B359" s="117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</row>
    <row r="360">
      <c r="A360" s="117"/>
      <c r="B360" s="117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</row>
    <row r="361">
      <c r="A361" s="117"/>
      <c r="B361" s="117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</row>
    <row r="362">
      <c r="A362" s="117"/>
      <c r="B362" s="117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</row>
    <row r="363">
      <c r="A363" s="117"/>
      <c r="B363" s="117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</row>
    <row r="364">
      <c r="A364" s="117"/>
      <c r="B364" s="117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</row>
    <row r="365">
      <c r="A365" s="117"/>
      <c r="B365" s="117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</row>
    <row r="366">
      <c r="A366" s="117"/>
      <c r="B366" s="117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</row>
    <row r="367">
      <c r="A367" s="117"/>
      <c r="B367" s="117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</row>
    <row r="368">
      <c r="A368" s="117"/>
      <c r="B368" s="117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</row>
    <row r="369">
      <c r="A369" s="117"/>
      <c r="B369" s="117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</row>
    <row r="370">
      <c r="A370" s="117"/>
      <c r="B370" s="117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</row>
    <row r="371">
      <c r="A371" s="117"/>
      <c r="B371" s="117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</row>
    <row r="372">
      <c r="A372" s="117"/>
      <c r="B372" s="117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</row>
    <row r="373">
      <c r="A373" s="117"/>
      <c r="B373" s="117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</row>
    <row r="374">
      <c r="A374" s="117"/>
      <c r="B374" s="117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</row>
    <row r="375">
      <c r="A375" s="117"/>
      <c r="B375" s="117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</row>
    <row r="376">
      <c r="A376" s="117"/>
      <c r="B376" s="117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</row>
    <row r="377">
      <c r="A377" s="117"/>
      <c r="B377" s="117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</row>
    <row r="378">
      <c r="A378" s="117"/>
      <c r="B378" s="117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</row>
    <row r="379">
      <c r="A379" s="117"/>
      <c r="B379" s="117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</row>
    <row r="380">
      <c r="A380" s="117"/>
      <c r="B380" s="117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</row>
    <row r="381">
      <c r="A381" s="117"/>
      <c r="B381" s="117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</row>
    <row r="382">
      <c r="A382" s="117"/>
      <c r="B382" s="117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</row>
    <row r="383">
      <c r="A383" s="117"/>
      <c r="B383" s="117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</row>
    <row r="384">
      <c r="A384" s="117"/>
      <c r="B384" s="117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</row>
    <row r="385">
      <c r="A385" s="117"/>
      <c r="B385" s="117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</row>
    <row r="386">
      <c r="A386" s="117"/>
      <c r="B386" s="117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</row>
    <row r="387">
      <c r="A387" s="117"/>
      <c r="B387" s="117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</row>
    <row r="388">
      <c r="A388" s="117"/>
      <c r="B388" s="117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</row>
    <row r="389">
      <c r="A389" s="117"/>
      <c r="B389" s="117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</row>
    <row r="390">
      <c r="A390" s="117"/>
      <c r="B390" s="117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</row>
    <row r="391">
      <c r="A391" s="117"/>
      <c r="B391" s="117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</row>
    <row r="392">
      <c r="A392" s="117"/>
      <c r="B392" s="117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</row>
    <row r="393">
      <c r="A393" s="117"/>
      <c r="B393" s="117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</row>
    <row r="394">
      <c r="A394" s="117"/>
      <c r="B394" s="117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</row>
    <row r="395">
      <c r="A395" s="117"/>
      <c r="B395" s="117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</row>
    <row r="396">
      <c r="A396" s="117"/>
      <c r="B396" s="117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</row>
    <row r="397">
      <c r="A397" s="117"/>
      <c r="B397" s="117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</row>
    <row r="398">
      <c r="A398" s="117"/>
      <c r="B398" s="117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</row>
    <row r="399">
      <c r="A399" s="117"/>
      <c r="B399" s="117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</row>
    <row r="400">
      <c r="A400" s="117"/>
      <c r="B400" s="117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</row>
    <row r="401">
      <c r="A401" s="117"/>
      <c r="B401" s="117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</row>
    <row r="402">
      <c r="A402" s="117"/>
      <c r="B402" s="117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</row>
    <row r="403">
      <c r="A403" s="117"/>
      <c r="B403" s="117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</row>
    <row r="404">
      <c r="A404" s="117"/>
      <c r="B404" s="117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</row>
    <row r="405">
      <c r="A405" s="117"/>
      <c r="B405" s="117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</row>
    <row r="406">
      <c r="A406" s="117"/>
      <c r="B406" s="117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</row>
    <row r="407">
      <c r="A407" s="117"/>
      <c r="B407" s="117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</row>
    <row r="408">
      <c r="A408" s="117"/>
      <c r="B408" s="117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</row>
    <row r="409">
      <c r="A409" s="117"/>
      <c r="B409" s="117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</row>
    <row r="410">
      <c r="A410" s="117"/>
      <c r="B410" s="117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</row>
    <row r="411">
      <c r="A411" s="117"/>
      <c r="B411" s="117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</row>
    <row r="412">
      <c r="A412" s="117"/>
      <c r="B412" s="117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</row>
    <row r="413">
      <c r="A413" s="117"/>
      <c r="B413" s="117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</row>
    <row r="414">
      <c r="A414" s="117"/>
      <c r="B414" s="117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</row>
    <row r="415">
      <c r="A415" s="117"/>
      <c r="B415" s="117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</row>
    <row r="416">
      <c r="A416" s="117"/>
      <c r="B416" s="117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</row>
    <row r="417">
      <c r="A417" s="117"/>
      <c r="B417" s="117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</row>
    <row r="418">
      <c r="A418" s="117"/>
      <c r="B418" s="117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</row>
    <row r="419">
      <c r="A419" s="117"/>
      <c r="B419" s="117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</row>
    <row r="420">
      <c r="A420" s="117"/>
      <c r="B420" s="117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</row>
    <row r="421">
      <c r="A421" s="117"/>
      <c r="B421" s="117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</row>
    <row r="422">
      <c r="A422" s="117"/>
      <c r="B422" s="117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</row>
    <row r="423">
      <c r="A423" s="117"/>
      <c r="B423" s="117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</row>
    <row r="424">
      <c r="A424" s="117"/>
      <c r="B424" s="117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</row>
    <row r="425">
      <c r="A425" s="117"/>
      <c r="B425" s="117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</row>
    <row r="426">
      <c r="A426" s="117"/>
      <c r="B426" s="117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</row>
    <row r="427">
      <c r="A427" s="117"/>
      <c r="B427" s="117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</row>
    <row r="428">
      <c r="A428" s="117"/>
      <c r="B428" s="117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</row>
    <row r="429">
      <c r="A429" s="117"/>
      <c r="B429" s="117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</row>
    <row r="430">
      <c r="A430" s="117"/>
      <c r="B430" s="117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</row>
    <row r="431">
      <c r="A431" s="117"/>
      <c r="B431" s="117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</row>
    <row r="432">
      <c r="A432" s="117"/>
      <c r="B432" s="117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</row>
    <row r="433">
      <c r="A433" s="117"/>
      <c r="B433" s="117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</row>
    <row r="434">
      <c r="A434" s="117"/>
      <c r="B434" s="117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</row>
    <row r="435">
      <c r="A435" s="117"/>
      <c r="B435" s="117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</row>
    <row r="436">
      <c r="A436" s="117"/>
      <c r="B436" s="117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</row>
    <row r="437">
      <c r="A437" s="117"/>
      <c r="B437" s="117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</row>
    <row r="438">
      <c r="A438" s="117"/>
      <c r="B438" s="117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</row>
    <row r="439">
      <c r="A439" s="117"/>
      <c r="B439" s="117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</row>
    <row r="440">
      <c r="A440" s="117"/>
      <c r="B440" s="117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</row>
    <row r="441">
      <c r="A441" s="117"/>
      <c r="B441" s="117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</row>
    <row r="442">
      <c r="A442" s="117"/>
      <c r="B442" s="117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</row>
    <row r="443">
      <c r="A443" s="117"/>
      <c r="B443" s="117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</row>
    <row r="444">
      <c r="A444" s="117"/>
      <c r="B444" s="117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</row>
    <row r="445">
      <c r="A445" s="117"/>
      <c r="B445" s="117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</row>
    <row r="446">
      <c r="A446" s="117"/>
      <c r="B446" s="117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</row>
    <row r="447">
      <c r="A447" s="117"/>
      <c r="B447" s="117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</row>
    <row r="448">
      <c r="A448" s="117"/>
      <c r="B448" s="117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</row>
    <row r="449">
      <c r="A449" s="117"/>
      <c r="B449" s="117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</row>
    <row r="450">
      <c r="A450" s="117"/>
      <c r="B450" s="117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</row>
    <row r="451">
      <c r="A451" s="117"/>
      <c r="B451" s="117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</row>
    <row r="452">
      <c r="A452" s="117"/>
      <c r="B452" s="117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</row>
    <row r="453">
      <c r="A453" s="117"/>
      <c r="B453" s="117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</row>
    <row r="454">
      <c r="A454" s="117"/>
      <c r="B454" s="117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</row>
    <row r="455">
      <c r="A455" s="117"/>
      <c r="B455" s="117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</row>
    <row r="456">
      <c r="A456" s="117"/>
      <c r="B456" s="117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</row>
    <row r="457">
      <c r="A457" s="117"/>
      <c r="B457" s="117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</row>
    <row r="458">
      <c r="A458" s="117"/>
      <c r="B458" s="117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</row>
    <row r="459">
      <c r="A459" s="117"/>
      <c r="B459" s="117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</row>
    <row r="460">
      <c r="A460" s="117"/>
      <c r="B460" s="117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</row>
    <row r="461">
      <c r="A461" s="117"/>
      <c r="B461" s="117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</row>
    <row r="462">
      <c r="A462" s="117"/>
      <c r="B462" s="117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</row>
    <row r="463">
      <c r="A463" s="117"/>
      <c r="B463" s="117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</row>
    <row r="464">
      <c r="A464" s="117"/>
      <c r="B464" s="117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</row>
    <row r="465">
      <c r="A465" s="117"/>
      <c r="B465" s="117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</row>
    <row r="466">
      <c r="A466" s="117"/>
      <c r="B466" s="117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</row>
    <row r="467">
      <c r="A467" s="117"/>
      <c r="B467" s="117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</row>
    <row r="468">
      <c r="A468" s="117"/>
      <c r="B468" s="117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</row>
    <row r="469">
      <c r="A469" s="117"/>
      <c r="B469" s="117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</row>
    <row r="470">
      <c r="A470" s="117"/>
      <c r="B470" s="117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</row>
    <row r="471">
      <c r="A471" s="117"/>
      <c r="B471" s="117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</row>
    <row r="472">
      <c r="A472" s="117"/>
      <c r="B472" s="117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</row>
    <row r="473">
      <c r="A473" s="117"/>
      <c r="B473" s="117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</row>
    <row r="474">
      <c r="A474" s="117"/>
      <c r="B474" s="117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</row>
    <row r="475">
      <c r="A475" s="117"/>
      <c r="B475" s="117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</row>
    <row r="476">
      <c r="A476" s="117"/>
      <c r="B476" s="117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</row>
    <row r="477">
      <c r="A477" s="117"/>
      <c r="B477" s="117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</row>
    <row r="478">
      <c r="A478" s="117"/>
      <c r="B478" s="117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</row>
    <row r="479">
      <c r="A479" s="117"/>
      <c r="B479" s="117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</row>
    <row r="480">
      <c r="A480" s="117"/>
      <c r="B480" s="117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</row>
    <row r="481">
      <c r="A481" s="117"/>
      <c r="B481" s="117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</row>
    <row r="482">
      <c r="A482" s="117"/>
      <c r="B482" s="117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</row>
    <row r="483">
      <c r="A483" s="117"/>
      <c r="B483" s="117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</row>
    <row r="484">
      <c r="A484" s="117"/>
      <c r="B484" s="117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</row>
    <row r="485">
      <c r="A485" s="117"/>
      <c r="B485" s="117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</row>
    <row r="486">
      <c r="A486" s="117"/>
      <c r="B486" s="117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</row>
    <row r="487">
      <c r="A487" s="117"/>
      <c r="B487" s="117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</row>
    <row r="488">
      <c r="A488" s="117"/>
      <c r="B488" s="117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</row>
    <row r="489">
      <c r="A489" s="117"/>
      <c r="B489" s="117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</row>
    <row r="490">
      <c r="A490" s="117"/>
      <c r="B490" s="117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</row>
    <row r="491">
      <c r="A491" s="117"/>
      <c r="B491" s="117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</row>
    <row r="492">
      <c r="A492" s="117"/>
      <c r="B492" s="117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</row>
    <row r="493">
      <c r="A493" s="117"/>
      <c r="B493" s="117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</row>
    <row r="494">
      <c r="A494" s="117"/>
      <c r="B494" s="117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</row>
    <row r="495">
      <c r="A495" s="117"/>
      <c r="B495" s="117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</row>
    <row r="496">
      <c r="A496" s="117"/>
      <c r="B496" s="117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</row>
    <row r="497">
      <c r="A497" s="117"/>
      <c r="B497" s="117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</row>
    <row r="498">
      <c r="A498" s="117"/>
      <c r="B498" s="117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</row>
    <row r="499">
      <c r="A499" s="117"/>
      <c r="B499" s="117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</row>
    <row r="500">
      <c r="A500" s="117"/>
      <c r="B500" s="117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</row>
    <row r="501">
      <c r="A501" s="117"/>
      <c r="B501" s="117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</row>
    <row r="502">
      <c r="A502" s="117"/>
      <c r="B502" s="117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</row>
    <row r="503">
      <c r="A503" s="117"/>
      <c r="B503" s="117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</row>
    <row r="504">
      <c r="A504" s="117"/>
      <c r="B504" s="117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</row>
    <row r="505">
      <c r="A505" s="117"/>
      <c r="B505" s="117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</row>
    <row r="506">
      <c r="A506" s="117"/>
      <c r="B506" s="117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</row>
    <row r="507">
      <c r="A507" s="117"/>
      <c r="B507" s="117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</row>
    <row r="508">
      <c r="A508" s="117"/>
      <c r="B508" s="117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</row>
    <row r="509">
      <c r="A509" s="117"/>
      <c r="B509" s="117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</row>
    <row r="510">
      <c r="A510" s="117"/>
      <c r="B510" s="117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</row>
    <row r="511">
      <c r="A511" s="117"/>
      <c r="B511" s="117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</row>
    <row r="512">
      <c r="A512" s="117"/>
      <c r="B512" s="117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</row>
    <row r="513">
      <c r="A513" s="117"/>
      <c r="B513" s="117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</row>
    <row r="514">
      <c r="A514" s="117"/>
      <c r="B514" s="117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</row>
    <row r="515">
      <c r="A515" s="117"/>
      <c r="B515" s="117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</row>
    <row r="516">
      <c r="A516" s="117"/>
      <c r="B516" s="117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</row>
    <row r="517">
      <c r="A517" s="117"/>
      <c r="B517" s="117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</row>
    <row r="518">
      <c r="A518" s="117"/>
      <c r="B518" s="117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</row>
    <row r="519">
      <c r="A519" s="117"/>
      <c r="B519" s="117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</row>
    <row r="520">
      <c r="A520" s="117"/>
      <c r="B520" s="117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</row>
    <row r="521">
      <c r="A521" s="117"/>
      <c r="B521" s="117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</row>
    <row r="522">
      <c r="A522" s="117"/>
      <c r="B522" s="117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</row>
    <row r="523">
      <c r="A523" s="117"/>
      <c r="B523" s="117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</row>
    <row r="524">
      <c r="A524" s="117"/>
      <c r="B524" s="117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</row>
    <row r="525">
      <c r="A525" s="117"/>
      <c r="B525" s="117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</row>
    <row r="526">
      <c r="A526" s="117"/>
      <c r="B526" s="117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</row>
    <row r="527">
      <c r="A527" s="117"/>
      <c r="B527" s="117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</row>
    <row r="528">
      <c r="A528" s="117"/>
      <c r="B528" s="117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</row>
    <row r="529">
      <c r="A529" s="117"/>
      <c r="B529" s="117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</row>
    <row r="530">
      <c r="A530" s="117"/>
      <c r="B530" s="117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</row>
    <row r="531">
      <c r="A531" s="117"/>
      <c r="B531" s="117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</row>
    <row r="532">
      <c r="A532" s="117"/>
      <c r="B532" s="117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</row>
    <row r="533">
      <c r="A533" s="117"/>
      <c r="B533" s="117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</row>
    <row r="534">
      <c r="A534" s="117"/>
      <c r="B534" s="117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</row>
    <row r="535">
      <c r="A535" s="117"/>
      <c r="B535" s="117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</row>
    <row r="536">
      <c r="A536" s="117"/>
      <c r="B536" s="117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</row>
    <row r="537">
      <c r="A537" s="117"/>
      <c r="B537" s="117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</row>
    <row r="538">
      <c r="A538" s="117"/>
      <c r="B538" s="117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</row>
    <row r="539">
      <c r="A539" s="117"/>
      <c r="B539" s="117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</row>
    <row r="540">
      <c r="A540" s="117"/>
      <c r="B540" s="117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</row>
    <row r="541">
      <c r="A541" s="117"/>
      <c r="B541" s="117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</row>
    <row r="542">
      <c r="A542" s="117"/>
      <c r="B542" s="117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</row>
    <row r="543">
      <c r="A543" s="117"/>
      <c r="B543" s="117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</row>
    <row r="544">
      <c r="A544" s="117"/>
      <c r="B544" s="117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</row>
    <row r="545">
      <c r="A545" s="117"/>
      <c r="B545" s="117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</row>
    <row r="546">
      <c r="A546" s="117"/>
      <c r="B546" s="117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</row>
    <row r="547">
      <c r="A547" s="117"/>
      <c r="B547" s="117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</row>
    <row r="548">
      <c r="A548" s="117"/>
      <c r="B548" s="117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</row>
    <row r="549">
      <c r="A549" s="117"/>
      <c r="B549" s="117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</row>
    <row r="550">
      <c r="A550" s="117"/>
      <c r="B550" s="117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</row>
    <row r="551">
      <c r="A551" s="117"/>
      <c r="B551" s="117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</row>
    <row r="552">
      <c r="A552" s="117"/>
      <c r="B552" s="117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</row>
    <row r="553">
      <c r="A553" s="117"/>
      <c r="B553" s="117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</row>
    <row r="554">
      <c r="A554" s="117"/>
      <c r="B554" s="117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</row>
    <row r="555">
      <c r="A555" s="117"/>
      <c r="B555" s="117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</row>
    <row r="556">
      <c r="A556" s="117"/>
      <c r="B556" s="117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</row>
    <row r="557">
      <c r="A557" s="117"/>
      <c r="B557" s="117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</row>
    <row r="558">
      <c r="A558" s="117"/>
      <c r="B558" s="117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</row>
    <row r="559">
      <c r="A559" s="117"/>
      <c r="B559" s="117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</row>
    <row r="560">
      <c r="A560" s="117"/>
      <c r="B560" s="117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</row>
    <row r="561">
      <c r="A561" s="117"/>
      <c r="B561" s="117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</row>
    <row r="562">
      <c r="A562" s="117"/>
      <c r="B562" s="117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</row>
    <row r="563">
      <c r="A563" s="117"/>
      <c r="B563" s="117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</row>
    <row r="564">
      <c r="A564" s="117"/>
      <c r="B564" s="117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</row>
    <row r="565">
      <c r="A565" s="117"/>
      <c r="B565" s="117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</row>
    <row r="566">
      <c r="A566" s="117"/>
      <c r="B566" s="117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</row>
    <row r="567">
      <c r="A567" s="117"/>
      <c r="B567" s="117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</row>
    <row r="568">
      <c r="A568" s="117"/>
      <c r="B568" s="117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</row>
    <row r="569">
      <c r="A569" s="117"/>
      <c r="B569" s="117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</row>
    <row r="570">
      <c r="A570" s="117"/>
      <c r="B570" s="117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</row>
    <row r="571">
      <c r="A571" s="117"/>
      <c r="B571" s="117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</row>
    <row r="572">
      <c r="A572" s="117"/>
      <c r="B572" s="117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</row>
    <row r="573">
      <c r="A573" s="117"/>
      <c r="B573" s="117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</row>
    <row r="574">
      <c r="A574" s="117"/>
      <c r="B574" s="117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</row>
    <row r="575">
      <c r="A575" s="117"/>
      <c r="B575" s="117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</row>
    <row r="576">
      <c r="A576" s="117"/>
      <c r="B576" s="117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</row>
    <row r="577">
      <c r="A577" s="117"/>
      <c r="B577" s="117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</row>
    <row r="578">
      <c r="A578" s="117"/>
      <c r="B578" s="117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</row>
    <row r="579">
      <c r="A579" s="117"/>
      <c r="B579" s="117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</row>
    <row r="580">
      <c r="A580" s="117"/>
      <c r="B580" s="117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</row>
    <row r="581">
      <c r="A581" s="117"/>
      <c r="B581" s="117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</row>
    <row r="582">
      <c r="A582" s="117"/>
      <c r="B582" s="117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</row>
    <row r="583">
      <c r="A583" s="117"/>
      <c r="B583" s="117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</row>
    <row r="584">
      <c r="A584" s="117"/>
      <c r="B584" s="117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</row>
    <row r="585">
      <c r="A585" s="117"/>
      <c r="B585" s="117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</row>
    <row r="586">
      <c r="A586" s="117"/>
      <c r="B586" s="117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</row>
    <row r="587">
      <c r="A587" s="117"/>
      <c r="B587" s="117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</row>
    <row r="588">
      <c r="A588" s="117"/>
      <c r="B588" s="117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</row>
    <row r="589">
      <c r="A589" s="117"/>
      <c r="B589" s="117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</row>
    <row r="590">
      <c r="A590" s="117"/>
      <c r="B590" s="117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</row>
    <row r="591">
      <c r="A591" s="117"/>
      <c r="B591" s="117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</row>
    <row r="592">
      <c r="A592" s="117"/>
      <c r="B592" s="117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</row>
    <row r="593">
      <c r="A593" s="117"/>
      <c r="B593" s="117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</row>
    <row r="594">
      <c r="A594" s="117"/>
      <c r="B594" s="117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</row>
    <row r="595">
      <c r="A595" s="117"/>
      <c r="B595" s="117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</row>
    <row r="596">
      <c r="A596" s="117"/>
      <c r="B596" s="117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</row>
    <row r="597">
      <c r="A597" s="117"/>
      <c r="B597" s="117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</row>
    <row r="598">
      <c r="A598" s="117"/>
      <c r="B598" s="117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</row>
    <row r="599">
      <c r="A599" s="117"/>
      <c r="B599" s="117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</row>
    <row r="600">
      <c r="A600" s="117"/>
      <c r="B600" s="117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</row>
    <row r="601">
      <c r="A601" s="117"/>
      <c r="B601" s="117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</row>
    <row r="602">
      <c r="A602" s="117"/>
      <c r="B602" s="117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</row>
    <row r="603">
      <c r="A603" s="117"/>
      <c r="B603" s="117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</row>
    <row r="604">
      <c r="A604" s="117"/>
      <c r="B604" s="117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</row>
    <row r="605">
      <c r="A605" s="117"/>
      <c r="B605" s="117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</row>
    <row r="606">
      <c r="A606" s="117"/>
      <c r="B606" s="117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</row>
    <row r="607">
      <c r="A607" s="117"/>
      <c r="B607" s="117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</row>
    <row r="608">
      <c r="A608" s="117"/>
      <c r="B608" s="117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</row>
    <row r="609">
      <c r="A609" s="117"/>
      <c r="B609" s="117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</row>
    <row r="610">
      <c r="A610" s="117"/>
      <c r="B610" s="117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</row>
    <row r="611">
      <c r="A611" s="117"/>
      <c r="B611" s="117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</row>
    <row r="612">
      <c r="A612" s="117"/>
      <c r="B612" s="117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</row>
    <row r="613">
      <c r="A613" s="117"/>
      <c r="B613" s="117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</row>
    <row r="614">
      <c r="A614" s="117"/>
      <c r="B614" s="117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</row>
    <row r="615">
      <c r="A615" s="117"/>
      <c r="B615" s="117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</row>
    <row r="616">
      <c r="A616" s="117"/>
      <c r="B616" s="117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</row>
    <row r="617">
      <c r="A617" s="117"/>
      <c r="B617" s="117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</row>
    <row r="618">
      <c r="A618" s="117"/>
      <c r="B618" s="117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</row>
    <row r="619">
      <c r="A619" s="117"/>
      <c r="B619" s="117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</row>
    <row r="620">
      <c r="A620" s="117"/>
      <c r="B620" s="117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</row>
    <row r="621">
      <c r="A621" s="117"/>
      <c r="B621" s="117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</row>
    <row r="622">
      <c r="A622" s="117"/>
      <c r="B622" s="117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</row>
    <row r="623">
      <c r="A623" s="117"/>
      <c r="B623" s="117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</row>
    <row r="624">
      <c r="A624" s="117"/>
      <c r="B624" s="117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</row>
    <row r="625">
      <c r="A625" s="117"/>
      <c r="B625" s="117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</row>
    <row r="626">
      <c r="A626" s="117"/>
      <c r="B626" s="117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</row>
    <row r="627">
      <c r="A627" s="117"/>
      <c r="B627" s="117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</row>
    <row r="628">
      <c r="A628" s="117"/>
      <c r="B628" s="117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</row>
    <row r="629">
      <c r="A629" s="117"/>
      <c r="B629" s="117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</row>
    <row r="630">
      <c r="A630" s="117"/>
      <c r="B630" s="117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</row>
    <row r="631">
      <c r="A631" s="117"/>
      <c r="B631" s="117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</row>
    <row r="632">
      <c r="A632" s="117"/>
      <c r="B632" s="117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</row>
    <row r="633">
      <c r="A633" s="117"/>
      <c r="B633" s="117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</row>
    <row r="634">
      <c r="A634" s="117"/>
      <c r="B634" s="117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</row>
    <row r="635">
      <c r="A635" s="117"/>
      <c r="B635" s="117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</row>
    <row r="636">
      <c r="A636" s="117"/>
      <c r="B636" s="117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</row>
    <row r="637">
      <c r="A637" s="117"/>
      <c r="B637" s="117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</row>
    <row r="638">
      <c r="A638" s="117"/>
      <c r="B638" s="117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</row>
    <row r="639">
      <c r="A639" s="117"/>
      <c r="B639" s="117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</row>
    <row r="640">
      <c r="A640" s="117"/>
      <c r="B640" s="117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</row>
    <row r="641">
      <c r="A641" s="117"/>
      <c r="B641" s="117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</row>
    <row r="642">
      <c r="A642" s="117"/>
      <c r="B642" s="117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</row>
    <row r="643">
      <c r="A643" s="117"/>
      <c r="B643" s="117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</row>
    <row r="644">
      <c r="A644" s="117"/>
      <c r="B644" s="117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</row>
    <row r="645">
      <c r="A645" s="117"/>
      <c r="B645" s="117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</row>
    <row r="646">
      <c r="A646" s="117"/>
      <c r="B646" s="117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</row>
    <row r="647">
      <c r="A647" s="117"/>
      <c r="B647" s="117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</row>
    <row r="648">
      <c r="A648" s="117"/>
      <c r="B648" s="117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</row>
    <row r="649">
      <c r="A649" s="117"/>
      <c r="B649" s="117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</row>
    <row r="650">
      <c r="A650" s="117"/>
      <c r="B650" s="117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</row>
    <row r="651">
      <c r="A651" s="117"/>
      <c r="B651" s="117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</row>
    <row r="652">
      <c r="A652" s="117"/>
      <c r="B652" s="117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</row>
    <row r="653">
      <c r="A653" s="117"/>
      <c r="B653" s="117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</row>
    <row r="654">
      <c r="A654" s="117"/>
      <c r="B654" s="117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</row>
    <row r="655">
      <c r="A655" s="117"/>
      <c r="B655" s="117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</row>
    <row r="656">
      <c r="A656" s="117"/>
      <c r="B656" s="117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</row>
    <row r="657">
      <c r="A657" s="117"/>
      <c r="B657" s="117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</row>
    <row r="658">
      <c r="A658" s="117"/>
      <c r="B658" s="117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</row>
    <row r="659">
      <c r="A659" s="117"/>
      <c r="B659" s="117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</row>
    <row r="660">
      <c r="A660" s="117"/>
      <c r="B660" s="117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</row>
    <row r="661">
      <c r="A661" s="117"/>
      <c r="B661" s="117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</row>
    <row r="662">
      <c r="A662" s="117"/>
      <c r="B662" s="117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</row>
    <row r="663">
      <c r="A663" s="117"/>
      <c r="B663" s="117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</row>
    <row r="664">
      <c r="A664" s="117"/>
      <c r="B664" s="117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</row>
    <row r="665">
      <c r="A665" s="117"/>
      <c r="B665" s="117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</row>
    <row r="666">
      <c r="A666" s="117"/>
      <c r="B666" s="117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</row>
    <row r="667">
      <c r="A667" s="117"/>
      <c r="B667" s="117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</row>
    <row r="668">
      <c r="A668" s="117"/>
      <c r="B668" s="117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</row>
    <row r="669">
      <c r="A669" s="117"/>
      <c r="B669" s="117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</row>
    <row r="670">
      <c r="A670" s="117"/>
      <c r="B670" s="117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</row>
    <row r="671">
      <c r="A671" s="117"/>
      <c r="B671" s="117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</row>
    <row r="672">
      <c r="A672" s="117"/>
      <c r="B672" s="117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</row>
    <row r="673">
      <c r="A673" s="117"/>
      <c r="B673" s="117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</row>
    <row r="674">
      <c r="A674" s="117"/>
      <c r="B674" s="117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</row>
    <row r="675">
      <c r="A675" s="117"/>
      <c r="B675" s="117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</row>
    <row r="676">
      <c r="A676" s="117"/>
      <c r="B676" s="117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</row>
    <row r="677">
      <c r="A677" s="117"/>
      <c r="B677" s="117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</row>
    <row r="678">
      <c r="A678" s="117"/>
      <c r="B678" s="117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</row>
    <row r="679">
      <c r="A679" s="117"/>
      <c r="B679" s="117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</row>
    <row r="680">
      <c r="A680" s="117"/>
      <c r="B680" s="117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</row>
    <row r="681">
      <c r="A681" s="117"/>
      <c r="B681" s="117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</row>
    <row r="682">
      <c r="A682" s="117"/>
      <c r="B682" s="117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</row>
    <row r="683">
      <c r="A683" s="117"/>
      <c r="B683" s="117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</row>
    <row r="684">
      <c r="A684" s="117"/>
      <c r="B684" s="117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</row>
    <row r="685">
      <c r="A685" s="117"/>
      <c r="B685" s="117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</row>
    <row r="686">
      <c r="A686" s="117"/>
      <c r="B686" s="117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</row>
    <row r="687">
      <c r="A687" s="117"/>
      <c r="B687" s="117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</row>
    <row r="688">
      <c r="A688" s="117"/>
      <c r="B688" s="117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</row>
    <row r="689">
      <c r="A689" s="117"/>
      <c r="B689" s="117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</row>
    <row r="690">
      <c r="A690" s="117"/>
      <c r="B690" s="117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</row>
    <row r="691">
      <c r="A691" s="117"/>
      <c r="B691" s="117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</row>
    <row r="692">
      <c r="A692" s="117"/>
      <c r="B692" s="117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</row>
    <row r="693">
      <c r="A693" s="117"/>
      <c r="B693" s="117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</row>
    <row r="694">
      <c r="A694" s="117"/>
      <c r="B694" s="117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</row>
    <row r="695">
      <c r="A695" s="117"/>
      <c r="B695" s="117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</row>
    <row r="696">
      <c r="A696" s="117"/>
      <c r="B696" s="117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</row>
    <row r="697">
      <c r="A697" s="117"/>
      <c r="B697" s="117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</row>
    <row r="698">
      <c r="A698" s="117"/>
      <c r="B698" s="117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</row>
    <row r="699">
      <c r="A699" s="117"/>
      <c r="B699" s="117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</row>
    <row r="700">
      <c r="A700" s="117"/>
      <c r="B700" s="117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</row>
    <row r="701">
      <c r="A701" s="117"/>
      <c r="B701" s="117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</row>
    <row r="702">
      <c r="A702" s="117"/>
      <c r="B702" s="117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</row>
    <row r="703">
      <c r="A703" s="117"/>
      <c r="B703" s="117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</row>
    <row r="704">
      <c r="A704" s="117"/>
      <c r="B704" s="117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</row>
    <row r="705">
      <c r="A705" s="117"/>
      <c r="B705" s="117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</row>
    <row r="706">
      <c r="A706" s="117"/>
      <c r="B706" s="117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</row>
    <row r="707">
      <c r="A707" s="117"/>
      <c r="B707" s="117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</row>
    <row r="708">
      <c r="A708" s="117"/>
      <c r="B708" s="117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</row>
    <row r="709">
      <c r="A709" s="117"/>
      <c r="B709" s="117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</row>
    <row r="710">
      <c r="A710" s="117"/>
      <c r="B710" s="117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</row>
    <row r="711">
      <c r="A711" s="117"/>
      <c r="B711" s="117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</row>
    <row r="712">
      <c r="A712" s="117"/>
      <c r="B712" s="117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</row>
    <row r="713">
      <c r="A713" s="117"/>
      <c r="B713" s="117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</row>
    <row r="714">
      <c r="A714" s="117"/>
      <c r="B714" s="117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</row>
    <row r="715">
      <c r="A715" s="117"/>
      <c r="B715" s="117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</row>
    <row r="716">
      <c r="A716" s="117"/>
      <c r="B716" s="117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</row>
    <row r="717">
      <c r="A717" s="117"/>
      <c r="B717" s="117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</row>
    <row r="718">
      <c r="A718" s="117"/>
      <c r="B718" s="117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</row>
    <row r="719">
      <c r="A719" s="117"/>
      <c r="B719" s="117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</row>
    <row r="720">
      <c r="A720" s="117"/>
      <c r="B720" s="117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</row>
    <row r="721">
      <c r="A721" s="117"/>
      <c r="B721" s="117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</row>
    <row r="722">
      <c r="A722" s="117"/>
      <c r="B722" s="117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</row>
    <row r="723">
      <c r="A723" s="117"/>
      <c r="B723" s="117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</row>
    <row r="724">
      <c r="A724" s="117"/>
      <c r="B724" s="117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</row>
    <row r="725">
      <c r="A725" s="117"/>
      <c r="B725" s="117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</row>
    <row r="726">
      <c r="A726" s="117"/>
      <c r="B726" s="117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</row>
    <row r="727">
      <c r="A727" s="117"/>
      <c r="B727" s="117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</row>
    <row r="728">
      <c r="A728" s="117"/>
      <c r="B728" s="117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</row>
    <row r="729">
      <c r="A729" s="117"/>
      <c r="B729" s="117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</row>
    <row r="730">
      <c r="A730" s="117"/>
      <c r="B730" s="117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</row>
    <row r="731">
      <c r="A731" s="117"/>
      <c r="B731" s="117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</row>
    <row r="732">
      <c r="A732" s="117"/>
      <c r="B732" s="117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</row>
    <row r="733">
      <c r="A733" s="117"/>
      <c r="B733" s="117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</row>
    <row r="734">
      <c r="A734" s="117"/>
      <c r="B734" s="117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</row>
    <row r="735">
      <c r="A735" s="117"/>
      <c r="B735" s="117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</row>
    <row r="736">
      <c r="A736" s="117"/>
      <c r="B736" s="117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</row>
    <row r="737">
      <c r="A737" s="117"/>
      <c r="B737" s="117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</row>
    <row r="738">
      <c r="A738" s="117"/>
      <c r="B738" s="117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</row>
    <row r="739">
      <c r="A739" s="117"/>
      <c r="B739" s="117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</row>
    <row r="740">
      <c r="A740" s="117"/>
      <c r="B740" s="117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</row>
    <row r="741">
      <c r="A741" s="117"/>
      <c r="B741" s="117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</row>
    <row r="742">
      <c r="A742" s="117"/>
      <c r="B742" s="117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</row>
    <row r="743">
      <c r="A743" s="117"/>
      <c r="B743" s="117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</row>
    <row r="744">
      <c r="A744" s="117"/>
      <c r="B744" s="117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</row>
    <row r="745">
      <c r="A745" s="117"/>
      <c r="B745" s="117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</row>
    <row r="746">
      <c r="A746" s="117"/>
      <c r="B746" s="117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</row>
    <row r="747">
      <c r="A747" s="117"/>
      <c r="B747" s="117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</row>
    <row r="748">
      <c r="A748" s="117"/>
      <c r="B748" s="117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</row>
    <row r="749">
      <c r="A749" s="117"/>
      <c r="B749" s="117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</row>
    <row r="750">
      <c r="A750" s="117"/>
      <c r="B750" s="117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</row>
    <row r="751">
      <c r="A751" s="117"/>
      <c r="B751" s="117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</row>
    <row r="752">
      <c r="A752" s="117"/>
      <c r="B752" s="117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</row>
    <row r="753">
      <c r="A753" s="117"/>
      <c r="B753" s="117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</row>
    <row r="754">
      <c r="A754" s="117"/>
      <c r="B754" s="117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</row>
    <row r="755">
      <c r="A755" s="117"/>
      <c r="B755" s="117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</row>
    <row r="756">
      <c r="A756" s="117"/>
      <c r="B756" s="117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</row>
    <row r="757">
      <c r="A757" s="117"/>
      <c r="B757" s="117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</row>
    <row r="758">
      <c r="A758" s="117"/>
      <c r="B758" s="117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</row>
    <row r="759">
      <c r="A759" s="117"/>
      <c r="B759" s="117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</row>
    <row r="760">
      <c r="A760" s="117"/>
      <c r="B760" s="117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</row>
    <row r="761">
      <c r="A761" s="117"/>
      <c r="B761" s="117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</row>
    <row r="762">
      <c r="A762" s="117"/>
      <c r="B762" s="117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</row>
    <row r="763">
      <c r="A763" s="117"/>
      <c r="B763" s="117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</row>
    <row r="764">
      <c r="A764" s="117"/>
      <c r="B764" s="117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</row>
    <row r="765">
      <c r="A765" s="117"/>
      <c r="B765" s="117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</row>
    <row r="766">
      <c r="A766" s="117"/>
      <c r="B766" s="117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</row>
    <row r="767">
      <c r="A767" s="117"/>
      <c r="B767" s="117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</row>
    <row r="768">
      <c r="A768" s="117"/>
      <c r="B768" s="117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</row>
    <row r="769">
      <c r="A769" s="117"/>
      <c r="B769" s="117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</row>
    <row r="770">
      <c r="A770" s="117"/>
      <c r="B770" s="117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</row>
    <row r="771">
      <c r="A771" s="117"/>
      <c r="B771" s="117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</row>
    <row r="772">
      <c r="A772" s="117"/>
      <c r="B772" s="117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</row>
    <row r="773">
      <c r="A773" s="117"/>
      <c r="B773" s="117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</row>
    <row r="774">
      <c r="A774" s="117"/>
      <c r="B774" s="117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</row>
    <row r="775">
      <c r="A775" s="117"/>
      <c r="B775" s="117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</row>
    <row r="776">
      <c r="A776" s="117"/>
      <c r="B776" s="117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</row>
    <row r="777">
      <c r="A777" s="117"/>
      <c r="B777" s="117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</row>
    <row r="778">
      <c r="A778" s="117"/>
      <c r="B778" s="117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</row>
    <row r="779">
      <c r="A779" s="117"/>
      <c r="B779" s="117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</row>
    <row r="780">
      <c r="A780" s="117"/>
      <c r="B780" s="117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</row>
    <row r="781">
      <c r="A781" s="117"/>
      <c r="B781" s="117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</row>
    <row r="782">
      <c r="A782" s="117"/>
      <c r="B782" s="117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</row>
    <row r="783">
      <c r="A783" s="117"/>
      <c r="B783" s="117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</row>
    <row r="784">
      <c r="A784" s="117"/>
      <c r="B784" s="117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</row>
    <row r="785">
      <c r="A785" s="117"/>
      <c r="B785" s="117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</row>
    <row r="786">
      <c r="A786" s="117"/>
      <c r="B786" s="117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</row>
    <row r="787">
      <c r="A787" s="117"/>
      <c r="B787" s="117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</row>
    <row r="788">
      <c r="A788" s="117"/>
      <c r="B788" s="117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</row>
    <row r="789">
      <c r="A789" s="117"/>
      <c r="B789" s="117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</row>
    <row r="790">
      <c r="A790" s="117"/>
      <c r="B790" s="117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</row>
    <row r="791">
      <c r="A791" s="117"/>
      <c r="B791" s="117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</row>
    <row r="792">
      <c r="A792" s="117"/>
      <c r="B792" s="117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</row>
    <row r="793">
      <c r="A793" s="117"/>
      <c r="B793" s="117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</row>
    <row r="794">
      <c r="A794" s="117"/>
      <c r="B794" s="117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</row>
    <row r="795">
      <c r="A795" s="117"/>
      <c r="B795" s="117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</row>
    <row r="796">
      <c r="A796" s="117"/>
      <c r="B796" s="117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</row>
    <row r="797">
      <c r="A797" s="117"/>
      <c r="B797" s="117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</row>
    <row r="798">
      <c r="A798" s="117"/>
      <c r="B798" s="117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</row>
    <row r="799">
      <c r="A799" s="117"/>
      <c r="B799" s="117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</row>
    <row r="800">
      <c r="A800" s="117"/>
      <c r="B800" s="117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</row>
    <row r="801">
      <c r="A801" s="117"/>
      <c r="B801" s="117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</row>
    <row r="802">
      <c r="A802" s="117"/>
      <c r="B802" s="117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</row>
    <row r="803">
      <c r="A803" s="117"/>
      <c r="B803" s="117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</row>
    <row r="804">
      <c r="A804" s="117"/>
      <c r="B804" s="117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</row>
    <row r="805">
      <c r="A805" s="117"/>
      <c r="B805" s="117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</row>
    <row r="806">
      <c r="A806" s="117"/>
      <c r="B806" s="117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</row>
    <row r="807">
      <c r="A807" s="117"/>
      <c r="B807" s="117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</row>
    <row r="808">
      <c r="A808" s="117"/>
      <c r="B808" s="117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</row>
    <row r="809">
      <c r="A809" s="117"/>
      <c r="B809" s="117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</row>
    <row r="810">
      <c r="A810" s="117"/>
      <c r="B810" s="117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</row>
    <row r="811">
      <c r="A811" s="117"/>
      <c r="B811" s="117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</row>
    <row r="812">
      <c r="A812" s="117"/>
      <c r="B812" s="117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</row>
    <row r="813">
      <c r="A813" s="117"/>
      <c r="B813" s="117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</row>
    <row r="814">
      <c r="A814" s="117"/>
      <c r="B814" s="117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</row>
    <row r="815">
      <c r="A815" s="117"/>
      <c r="B815" s="117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</row>
    <row r="816">
      <c r="A816" s="117"/>
      <c r="B816" s="117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</row>
    <row r="817">
      <c r="A817" s="117"/>
      <c r="B817" s="117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</row>
    <row r="818">
      <c r="A818" s="117"/>
      <c r="B818" s="117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</row>
    <row r="819">
      <c r="A819" s="117"/>
      <c r="B819" s="117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</row>
    <row r="820">
      <c r="A820" s="117"/>
      <c r="B820" s="117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</row>
    <row r="821">
      <c r="A821" s="117"/>
      <c r="B821" s="117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</row>
    <row r="822">
      <c r="A822" s="117"/>
      <c r="B822" s="117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</row>
    <row r="823">
      <c r="A823" s="117"/>
      <c r="B823" s="117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</row>
    <row r="824">
      <c r="A824" s="117"/>
      <c r="B824" s="117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</row>
    <row r="825">
      <c r="A825" s="117"/>
      <c r="B825" s="117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</row>
    <row r="826">
      <c r="A826" s="117"/>
      <c r="B826" s="117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</row>
    <row r="827">
      <c r="A827" s="117"/>
      <c r="B827" s="117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</row>
    <row r="828">
      <c r="A828" s="117"/>
      <c r="B828" s="117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</row>
    <row r="829">
      <c r="A829" s="117"/>
      <c r="B829" s="117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</row>
    <row r="830">
      <c r="A830" s="117"/>
      <c r="B830" s="117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</row>
    <row r="831">
      <c r="A831" s="117"/>
      <c r="B831" s="117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</row>
    <row r="832">
      <c r="A832" s="117"/>
      <c r="B832" s="117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</row>
    <row r="833">
      <c r="A833" s="117"/>
      <c r="B833" s="117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</row>
    <row r="834">
      <c r="A834" s="117"/>
      <c r="B834" s="117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</row>
    <row r="835">
      <c r="A835" s="117"/>
      <c r="B835" s="117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</row>
    <row r="836">
      <c r="A836" s="117"/>
      <c r="B836" s="117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</row>
    <row r="837">
      <c r="A837" s="117"/>
      <c r="B837" s="117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</row>
    <row r="838">
      <c r="A838" s="117"/>
      <c r="B838" s="117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</row>
    <row r="839">
      <c r="A839" s="117"/>
      <c r="B839" s="117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</row>
    <row r="840">
      <c r="A840" s="117"/>
      <c r="B840" s="117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</row>
    <row r="841">
      <c r="A841" s="117"/>
      <c r="B841" s="117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</row>
    <row r="842">
      <c r="A842" s="117"/>
      <c r="B842" s="117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</row>
    <row r="843">
      <c r="A843" s="117"/>
      <c r="B843" s="117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</row>
    <row r="844">
      <c r="A844" s="117"/>
      <c r="B844" s="117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</row>
    <row r="845">
      <c r="A845" s="117"/>
      <c r="B845" s="117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</row>
    <row r="846">
      <c r="A846" s="117"/>
      <c r="B846" s="117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</row>
    <row r="847">
      <c r="A847" s="117"/>
      <c r="B847" s="117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</row>
    <row r="848">
      <c r="A848" s="117"/>
      <c r="B848" s="117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</row>
    <row r="849">
      <c r="A849" s="117"/>
      <c r="B849" s="117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</row>
    <row r="850">
      <c r="A850" s="117"/>
      <c r="B850" s="117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</row>
    <row r="851">
      <c r="A851" s="117"/>
      <c r="B851" s="117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</row>
    <row r="852">
      <c r="A852" s="117"/>
      <c r="B852" s="117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</row>
    <row r="853">
      <c r="A853" s="117"/>
      <c r="B853" s="117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</row>
    <row r="854">
      <c r="A854" s="117"/>
      <c r="B854" s="117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</row>
    <row r="855">
      <c r="A855" s="117"/>
      <c r="B855" s="117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</row>
    <row r="856">
      <c r="A856" s="117"/>
      <c r="B856" s="117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</row>
    <row r="857">
      <c r="A857" s="117"/>
      <c r="B857" s="117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</row>
    <row r="858">
      <c r="A858" s="117"/>
      <c r="B858" s="117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</row>
    <row r="859">
      <c r="A859" s="117"/>
      <c r="B859" s="117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</row>
    <row r="860">
      <c r="A860" s="117"/>
      <c r="B860" s="117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</row>
    <row r="861">
      <c r="A861" s="117"/>
      <c r="B861" s="117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</row>
    <row r="862">
      <c r="A862" s="117"/>
      <c r="B862" s="117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</row>
    <row r="863">
      <c r="A863" s="117"/>
      <c r="B863" s="117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</row>
    <row r="864">
      <c r="A864" s="117"/>
      <c r="B864" s="117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</row>
    <row r="865">
      <c r="A865" s="117"/>
      <c r="B865" s="117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</row>
    <row r="866">
      <c r="A866" s="117"/>
      <c r="B866" s="117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</row>
    <row r="867">
      <c r="A867" s="117"/>
      <c r="B867" s="117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</row>
    <row r="868">
      <c r="A868" s="117"/>
      <c r="B868" s="117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</row>
    <row r="869">
      <c r="A869" s="117"/>
      <c r="B869" s="117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</row>
    <row r="870">
      <c r="A870" s="117"/>
      <c r="B870" s="117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</row>
    <row r="871">
      <c r="A871" s="117"/>
      <c r="B871" s="117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</row>
    <row r="872">
      <c r="A872" s="117"/>
      <c r="B872" s="117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</row>
    <row r="873">
      <c r="A873" s="117"/>
      <c r="B873" s="117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</row>
    <row r="874">
      <c r="A874" s="117"/>
      <c r="B874" s="117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</row>
    <row r="875">
      <c r="A875" s="117"/>
      <c r="B875" s="117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</row>
    <row r="876">
      <c r="A876" s="117"/>
      <c r="B876" s="117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</row>
    <row r="877">
      <c r="A877" s="117"/>
      <c r="B877" s="117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</row>
    <row r="878">
      <c r="A878" s="117"/>
      <c r="B878" s="117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</row>
    <row r="879">
      <c r="A879" s="117"/>
      <c r="B879" s="117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</row>
    <row r="880">
      <c r="A880" s="117"/>
      <c r="B880" s="117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</row>
    <row r="881">
      <c r="A881" s="117"/>
      <c r="B881" s="117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</row>
    <row r="882">
      <c r="A882" s="117"/>
      <c r="B882" s="117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</row>
    <row r="883">
      <c r="A883" s="117"/>
      <c r="B883" s="117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</row>
    <row r="884">
      <c r="A884" s="117"/>
      <c r="B884" s="117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</row>
    <row r="885">
      <c r="A885" s="117"/>
      <c r="B885" s="117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</row>
    <row r="886">
      <c r="A886" s="117"/>
      <c r="B886" s="117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</row>
    <row r="887">
      <c r="A887" s="117"/>
      <c r="B887" s="117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</row>
    <row r="888">
      <c r="A888" s="117"/>
      <c r="B888" s="117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</row>
    <row r="889">
      <c r="A889" s="117"/>
      <c r="B889" s="117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</row>
    <row r="890">
      <c r="A890" s="117"/>
      <c r="B890" s="117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</row>
    <row r="891">
      <c r="A891" s="117"/>
      <c r="B891" s="117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</row>
    <row r="892">
      <c r="A892" s="117"/>
      <c r="B892" s="117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</row>
    <row r="893">
      <c r="A893" s="117"/>
      <c r="B893" s="117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</row>
    <row r="894">
      <c r="A894" s="117"/>
      <c r="B894" s="117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</row>
    <row r="895">
      <c r="A895" s="117"/>
      <c r="B895" s="117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</row>
    <row r="896">
      <c r="A896" s="117"/>
      <c r="B896" s="117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</row>
    <row r="897">
      <c r="A897" s="117"/>
      <c r="B897" s="117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</row>
    <row r="898">
      <c r="A898" s="117"/>
      <c r="B898" s="117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</row>
    <row r="899">
      <c r="A899" s="117"/>
      <c r="B899" s="117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</row>
    <row r="900">
      <c r="A900" s="117"/>
      <c r="B900" s="117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</row>
    <row r="901">
      <c r="A901" s="117"/>
      <c r="B901" s="117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</row>
    <row r="902">
      <c r="A902" s="117"/>
      <c r="B902" s="117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</row>
    <row r="903">
      <c r="A903" s="117"/>
      <c r="B903" s="117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</row>
    <row r="904">
      <c r="A904" s="117"/>
      <c r="B904" s="117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</row>
    <row r="905">
      <c r="A905" s="117"/>
      <c r="B905" s="117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</row>
    <row r="906">
      <c r="A906" s="117"/>
      <c r="B906" s="117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</row>
    <row r="907">
      <c r="A907" s="117"/>
      <c r="B907" s="117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</row>
    <row r="908">
      <c r="A908" s="117"/>
      <c r="B908" s="117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</row>
    <row r="909">
      <c r="A909" s="117"/>
      <c r="B909" s="117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</row>
    <row r="910">
      <c r="A910" s="117"/>
      <c r="B910" s="117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</row>
    <row r="911">
      <c r="A911" s="117"/>
      <c r="B911" s="117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</row>
    <row r="912">
      <c r="A912" s="117"/>
      <c r="B912" s="117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</row>
    <row r="913">
      <c r="A913" s="117"/>
      <c r="B913" s="117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</row>
    <row r="914">
      <c r="A914" s="117"/>
      <c r="B914" s="117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</row>
    <row r="915">
      <c r="A915" s="117"/>
      <c r="B915" s="117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</row>
    <row r="916">
      <c r="A916" s="117"/>
      <c r="B916" s="117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</row>
    <row r="917">
      <c r="A917" s="117"/>
      <c r="B917" s="117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</row>
    <row r="918">
      <c r="A918" s="117"/>
      <c r="B918" s="117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</row>
    <row r="919">
      <c r="A919" s="117"/>
      <c r="B919" s="117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</row>
    <row r="920">
      <c r="A920" s="117"/>
      <c r="B920" s="117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</row>
    <row r="921">
      <c r="A921" s="117"/>
      <c r="B921" s="117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</row>
    <row r="922">
      <c r="A922" s="117"/>
      <c r="B922" s="117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</row>
    <row r="923">
      <c r="A923" s="117"/>
      <c r="B923" s="117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</row>
    <row r="924">
      <c r="A924" s="117"/>
      <c r="B924" s="117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</row>
    <row r="925">
      <c r="A925" s="117"/>
      <c r="B925" s="117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</row>
    <row r="926">
      <c r="A926" s="117"/>
      <c r="B926" s="117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</row>
    <row r="927">
      <c r="A927" s="117"/>
      <c r="B927" s="117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</row>
    <row r="928">
      <c r="A928" s="117"/>
      <c r="B928" s="117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</row>
    <row r="929">
      <c r="A929" s="117"/>
      <c r="B929" s="117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</row>
    <row r="930">
      <c r="A930" s="117"/>
      <c r="B930" s="117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</row>
    <row r="931">
      <c r="A931" s="117"/>
      <c r="B931" s="117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</row>
    <row r="932">
      <c r="A932" s="117"/>
      <c r="B932" s="117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</row>
    <row r="933">
      <c r="A933" s="117"/>
      <c r="B933" s="117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</row>
    <row r="934">
      <c r="A934" s="117"/>
      <c r="B934" s="117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</row>
    <row r="935">
      <c r="A935" s="117"/>
      <c r="B935" s="117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</row>
    <row r="936">
      <c r="A936" s="117"/>
      <c r="B936" s="117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</row>
    <row r="937">
      <c r="A937" s="117"/>
      <c r="B937" s="117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</row>
    <row r="938">
      <c r="A938" s="117"/>
      <c r="B938" s="117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</row>
    <row r="939">
      <c r="A939" s="117"/>
      <c r="B939" s="117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</row>
    <row r="940">
      <c r="A940" s="117"/>
      <c r="B940" s="117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</row>
    <row r="941">
      <c r="A941" s="117"/>
      <c r="B941" s="117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</row>
    <row r="942">
      <c r="A942" s="117"/>
      <c r="B942" s="117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</row>
    <row r="943">
      <c r="A943" s="117"/>
      <c r="B943" s="117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</row>
    <row r="944">
      <c r="A944" s="117"/>
      <c r="B944" s="117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</row>
    <row r="945">
      <c r="A945" s="117"/>
      <c r="B945" s="117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</row>
    <row r="946">
      <c r="A946" s="117"/>
      <c r="B946" s="117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</row>
    <row r="947">
      <c r="A947" s="117"/>
      <c r="B947" s="117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</row>
    <row r="948">
      <c r="A948" s="117"/>
      <c r="B948" s="117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</row>
    <row r="949">
      <c r="A949" s="117"/>
      <c r="B949" s="117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</row>
    <row r="950">
      <c r="A950" s="117"/>
      <c r="B950" s="117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</row>
    <row r="951">
      <c r="A951" s="117"/>
      <c r="B951" s="117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</row>
    <row r="952">
      <c r="A952" s="117"/>
      <c r="B952" s="117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</row>
    <row r="953">
      <c r="A953" s="117"/>
      <c r="B953" s="117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</row>
    <row r="954">
      <c r="A954" s="117"/>
      <c r="B954" s="117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</row>
    <row r="955">
      <c r="A955" s="117"/>
      <c r="B955" s="117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</row>
    <row r="956">
      <c r="A956" s="117"/>
      <c r="B956" s="117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</row>
    <row r="957">
      <c r="A957" s="117"/>
      <c r="B957" s="117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</row>
    <row r="958">
      <c r="A958" s="117"/>
      <c r="B958" s="117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</row>
    <row r="959">
      <c r="A959" s="117"/>
      <c r="B959" s="117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</row>
    <row r="960">
      <c r="A960" s="117"/>
      <c r="B960" s="117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</row>
    <row r="961">
      <c r="A961" s="117"/>
      <c r="B961" s="117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</row>
    <row r="962">
      <c r="A962" s="117"/>
      <c r="B962" s="117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</row>
    <row r="963">
      <c r="A963" s="117"/>
      <c r="B963" s="117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</row>
    <row r="964">
      <c r="A964" s="117"/>
      <c r="B964" s="117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</row>
    <row r="965">
      <c r="A965" s="117"/>
      <c r="B965" s="117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</row>
    <row r="966">
      <c r="A966" s="117"/>
      <c r="B966" s="117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</row>
    <row r="967">
      <c r="A967" s="117"/>
      <c r="B967" s="117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</row>
    <row r="968">
      <c r="A968" s="117"/>
      <c r="B968" s="117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</row>
    <row r="969">
      <c r="A969" s="117"/>
      <c r="B969" s="117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</row>
    <row r="970">
      <c r="A970" s="117"/>
      <c r="B970" s="117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</row>
    <row r="971">
      <c r="A971" s="117"/>
      <c r="B971" s="117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</row>
    <row r="972">
      <c r="A972" s="117"/>
      <c r="B972" s="117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</row>
    <row r="973">
      <c r="A973" s="117"/>
      <c r="B973" s="117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</row>
    <row r="974">
      <c r="A974" s="117"/>
      <c r="B974" s="117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</row>
    <row r="975">
      <c r="A975" s="117"/>
      <c r="B975" s="117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</row>
    <row r="976">
      <c r="A976" s="117"/>
      <c r="B976" s="117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</row>
    <row r="977">
      <c r="A977" s="117"/>
      <c r="B977" s="117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</row>
    <row r="978">
      <c r="A978" s="117"/>
      <c r="B978" s="117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</row>
    <row r="979">
      <c r="A979" s="117"/>
      <c r="B979" s="117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</row>
    <row r="980">
      <c r="A980" s="117"/>
      <c r="B980" s="117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</row>
    <row r="981">
      <c r="A981" s="117"/>
      <c r="B981" s="117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</row>
    <row r="982">
      <c r="A982" s="117"/>
      <c r="B982" s="117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</row>
    <row r="983">
      <c r="A983" s="117"/>
      <c r="B983" s="117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</row>
    <row r="984">
      <c r="A984" s="117"/>
      <c r="B984" s="117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</row>
    <row r="985">
      <c r="A985" s="117"/>
      <c r="B985" s="117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</row>
    <row r="986">
      <c r="A986" s="117"/>
      <c r="B986" s="117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</row>
    <row r="987">
      <c r="A987" s="117"/>
      <c r="B987" s="117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</row>
    <row r="988">
      <c r="A988" s="117"/>
      <c r="B988" s="117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</row>
    <row r="989">
      <c r="A989" s="117"/>
      <c r="B989" s="117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</row>
    <row r="990">
      <c r="A990" s="117"/>
      <c r="B990" s="117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</row>
    <row r="991">
      <c r="A991" s="117"/>
      <c r="B991" s="117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</row>
    <row r="992">
      <c r="A992" s="117"/>
      <c r="B992" s="117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</row>
    <row r="993">
      <c r="A993" s="117"/>
      <c r="B993" s="117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</row>
    <row r="994">
      <c r="A994" s="117"/>
      <c r="B994" s="117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</row>
    <row r="995">
      <c r="A995" s="117"/>
      <c r="B995" s="117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</row>
    <row r="996">
      <c r="A996" s="117"/>
      <c r="B996" s="117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</row>
    <row r="997">
      <c r="A997" s="117"/>
      <c r="B997" s="117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</row>
    <row r="998">
      <c r="A998" s="117"/>
      <c r="B998" s="117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</row>
    <row r="999">
      <c r="A999" s="117"/>
      <c r="B999" s="117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</row>
    <row r="1000">
      <c r="A1000" s="117"/>
      <c r="B1000" s="117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</row>
    <row r="1001">
      <c r="A1001" s="117"/>
      <c r="B1001" s="117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96"/>
      <c r="AC1001" s="96"/>
    </row>
    <row r="1002">
      <c r="A1002" s="117"/>
      <c r="B1002" s="117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</row>
    <row r="1003">
      <c r="A1003" s="117"/>
      <c r="B1003" s="117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96"/>
      <c r="AC1003" s="96"/>
    </row>
    <row r="1004">
      <c r="A1004" s="117"/>
      <c r="B1004" s="117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</row>
    <row r="1005">
      <c r="A1005" s="117"/>
      <c r="B1005" s="117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  <c r="AB1005" s="96"/>
      <c r="AC1005" s="96"/>
    </row>
    <row r="1006">
      <c r="A1006" s="117"/>
      <c r="B1006" s="117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</row>
  </sheetData>
  <mergeCells count="1">
    <mergeCell ref="A1:K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120" t="s">
        <v>201</v>
      </c>
      <c r="F1" s="7" t="s">
        <v>190</v>
      </c>
      <c r="G1" s="120" t="s">
        <v>202</v>
      </c>
      <c r="J1" s="7" t="s">
        <v>190</v>
      </c>
    </row>
    <row r="2">
      <c r="A2" s="7" t="s">
        <v>203</v>
      </c>
      <c r="B2" s="120" t="s">
        <v>204</v>
      </c>
      <c r="C2" s="7">
        <v>1.0</v>
      </c>
      <c r="D2" s="7">
        <v>0.5</v>
      </c>
      <c r="E2" s="7">
        <v>0.25</v>
      </c>
      <c r="G2" s="7">
        <v>1.0</v>
      </c>
      <c r="H2" s="7">
        <v>0.5</v>
      </c>
      <c r="I2" s="7">
        <v>0.25</v>
      </c>
    </row>
    <row r="3">
      <c r="A3" s="121">
        <v>46269.0</v>
      </c>
      <c r="B3" s="7" t="s">
        <v>205</v>
      </c>
      <c r="C3" s="7">
        <v>5.0</v>
      </c>
      <c r="D3" s="7">
        <v>2.0</v>
      </c>
      <c r="E3" s="7">
        <v>1.0</v>
      </c>
      <c r="F3" s="7">
        <v>8.0</v>
      </c>
    </row>
  </sheetData>
  <mergeCells count="2">
    <mergeCell ref="C1:E1"/>
    <mergeCell ref="G1:I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2025-06-17T15:37:40Z</dcterms:created>
</cp:coreProperties>
</file>